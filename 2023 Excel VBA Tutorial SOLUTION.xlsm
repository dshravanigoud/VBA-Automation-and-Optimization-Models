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1" codeName="{E39A1632-A8E3-4493-0D71-6A188D42057B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donaldson/Desktop/FIN645/Lectures 2023/Lecture 2 - Advanced Excel Tutorial/Excel Tutorial/"/>
    </mc:Choice>
  </mc:AlternateContent>
  <xr:revisionPtr revIDLastSave="0" documentId="13_ncr:1_{2168CDAD-3547-024A-8CAB-2AC844940470}" xr6:coauthVersionLast="47" xr6:coauthVersionMax="47" xr10:uidLastSave="{00000000-0000-0000-0000-000000000000}"/>
  <bookViews>
    <workbookView xWindow="0" yWindow="740" windowWidth="34560" windowHeight="21600" activeTab="2" xr2:uid="{00000000-000D-0000-FFFF-FFFF00000000}"/>
  </bookViews>
  <sheets>
    <sheet name="Record_Macro_Button" sheetId="1" r:id="rId1"/>
    <sheet name="Spin Buttons" sheetId="9" r:id="rId2"/>
    <sheet name="If Statements" sheetId="16" r:id="rId3"/>
    <sheet name="VLOOKUP &amp; Button" sheetId="17" r:id="rId4"/>
    <sheet name="Solver_Max Sharpe" sheetId="15" r:id="rId5"/>
    <sheet name="Create Function" sheetId="2" r:id="rId6"/>
    <sheet name="FV_Volatility" sheetId="6" r:id="rId7"/>
    <sheet name="Normal Distribution Graph" sheetId="14" r:id="rId8"/>
    <sheet name="VBA Practice" sheetId="3" r:id="rId9"/>
    <sheet name="Practice Loop" sheetId="13" r:id="rId10"/>
    <sheet name="Monte Carlo" sheetId="12" r:id="rId11"/>
    <sheet name="MVO" sheetId="8" r:id="rId12"/>
  </sheets>
  <functionGroups builtInGroupCount="19"/>
  <externalReferences>
    <externalReference r:id="rId13"/>
  </externalReferences>
  <definedNames>
    <definedName name="_xlchart.v1.0" hidden="1">'Normal Distribution Graph'!$B$10:$B$1009</definedName>
    <definedName name="_xlchart.v1.1" hidden="1">'Monte Carlo'!$K$18:$K$1017</definedName>
    <definedName name="Covar">#REF!</definedName>
    <definedName name="Rets">'Solver_Max Sharpe'!$B$3:$K$3</definedName>
    <definedName name="Returns">#REF!</definedName>
    <definedName name="S">'Solver_Max Sharpe'!$B$9:$K$18</definedName>
    <definedName name="solver_adj" localSheetId="11" hidden="1">MVO!$B$5:$K$5</definedName>
    <definedName name="solver_adj" localSheetId="4" hidden="1">'Solver_Max Sharpe'!$B$5:$K$5</definedName>
    <definedName name="solver_cvg" localSheetId="11" hidden="1">0.0001</definedName>
    <definedName name="solver_cvg" localSheetId="4" hidden="1">0.0001</definedName>
    <definedName name="solver_drv" localSheetId="11" hidden="1">1</definedName>
    <definedName name="solver_drv" localSheetId="4" hidden="1">1</definedName>
    <definedName name="solver_eng" localSheetId="11" hidden="1">1</definedName>
    <definedName name="solver_eng" localSheetId="4" hidden="1">1</definedName>
    <definedName name="solver_est" localSheetId="11" hidden="1">1</definedName>
    <definedName name="solver_itr" localSheetId="11" hidden="1">2147483647</definedName>
    <definedName name="solver_itr" localSheetId="4" hidden="1">2147483647</definedName>
    <definedName name="solver_lhs1" localSheetId="11" hidden="1">MVO!$A$21</definedName>
    <definedName name="solver_lhs1" localSheetId="4" hidden="1">'Solver_Max Sharpe'!$M$5</definedName>
    <definedName name="solver_lhs2" localSheetId="11" hidden="1">MVO!$B$5:$K$5</definedName>
    <definedName name="solver_lhs2" localSheetId="4" hidden="1">'Solver_Max Sharpe'!$B$5:$K$5</definedName>
    <definedName name="solver_lhs3" localSheetId="11" hidden="1">MVO!$M$5</definedName>
    <definedName name="solver_lin" localSheetId="4" hidden="1">2</definedName>
    <definedName name="solver_mip" localSheetId="11" hidden="1">2147483647</definedName>
    <definedName name="solver_mip" localSheetId="4" hidden="1">2147483647</definedName>
    <definedName name="solver_mni" localSheetId="11" hidden="1">30</definedName>
    <definedName name="solver_mni" localSheetId="4" hidden="1">30</definedName>
    <definedName name="solver_mrt" localSheetId="11" hidden="1">0.075</definedName>
    <definedName name="solver_mrt" localSheetId="4" hidden="1">0.075</definedName>
    <definedName name="solver_msl" localSheetId="11" hidden="1">2</definedName>
    <definedName name="solver_msl" localSheetId="4" hidden="1">2</definedName>
    <definedName name="solver_neg" localSheetId="11" hidden="1">1</definedName>
    <definedName name="solver_neg" localSheetId="4" hidden="1">1</definedName>
    <definedName name="solver_nod" localSheetId="11" hidden="1">2147483647</definedName>
    <definedName name="solver_nod" localSheetId="4" hidden="1">2147483647</definedName>
    <definedName name="solver_num" localSheetId="11" hidden="1">3</definedName>
    <definedName name="solver_num" localSheetId="4" hidden="1">2</definedName>
    <definedName name="solver_nwt" localSheetId="11" hidden="1">1</definedName>
    <definedName name="solver_opt" localSheetId="11" hidden="1">MVO!$A$23</definedName>
    <definedName name="solver_opt" localSheetId="4" hidden="1">'Solver_Max Sharpe'!$N$14</definedName>
    <definedName name="solver_pre" localSheetId="11" hidden="1">0.000001</definedName>
    <definedName name="solver_pre" localSheetId="4" hidden="1">0.000001</definedName>
    <definedName name="solver_rbv" localSheetId="11" hidden="1">1</definedName>
    <definedName name="solver_rbv" localSheetId="4" hidden="1">1</definedName>
    <definedName name="solver_rel1" localSheetId="11" hidden="1">2</definedName>
    <definedName name="solver_rel1" localSheetId="4" hidden="1">2</definedName>
    <definedName name="solver_rel2" localSheetId="11" hidden="1">3</definedName>
    <definedName name="solver_rel2" localSheetId="4" hidden="1">3</definedName>
    <definedName name="solver_rel3" localSheetId="11" hidden="1">2</definedName>
    <definedName name="solver_rhs1" localSheetId="11" hidden="1">+MVO!$L$3</definedName>
    <definedName name="solver_rhs1" localSheetId="4" hidden="1">1</definedName>
    <definedName name="solver_rhs2" localSheetId="11" hidden="1">0</definedName>
    <definedName name="solver_rhs2" localSheetId="4" hidden="1">0</definedName>
    <definedName name="solver_rhs3" localSheetId="11" hidden="1">1</definedName>
    <definedName name="solver_rlx" localSheetId="11" hidden="1">2</definedName>
    <definedName name="solver_rlx" localSheetId="4" hidden="1">2</definedName>
    <definedName name="solver_rsd" localSheetId="11" hidden="1">0</definedName>
    <definedName name="solver_rsd" localSheetId="4" hidden="1">0</definedName>
    <definedName name="solver_scl" localSheetId="11" hidden="1">1</definedName>
    <definedName name="solver_scl" localSheetId="4" hidden="1">1</definedName>
    <definedName name="solver_sho" localSheetId="11" hidden="1">2</definedName>
    <definedName name="solver_sho" localSheetId="4" hidden="1">2</definedName>
    <definedName name="solver_ssz" localSheetId="11" hidden="1">100</definedName>
    <definedName name="solver_ssz" localSheetId="4" hidden="1">100</definedName>
    <definedName name="solver_tim" localSheetId="11" hidden="1">2147483647</definedName>
    <definedName name="solver_tim" localSheetId="4" hidden="1">2147483647</definedName>
    <definedName name="solver_tol" localSheetId="11" hidden="1">0.01</definedName>
    <definedName name="solver_tol" localSheetId="4" hidden="1">0.01</definedName>
    <definedName name="solver_typ" localSheetId="11" hidden="1">2</definedName>
    <definedName name="solver_typ" localSheetId="4" hidden="1">1</definedName>
    <definedName name="solver_val" localSheetId="11" hidden="1">0</definedName>
    <definedName name="solver_val" localSheetId="4" hidden="1">0</definedName>
    <definedName name="solver_ver" localSheetId="11" hidden="1">3</definedName>
    <definedName name="solver_ver" localSheetId="4" hidden="1">2</definedName>
    <definedName name="Weights">#REF!</definedName>
    <definedName name="Wgts">'Solver_Max Sharpe'!$B$5:$K$5</definedName>
  </definedNames>
  <calcPr calcId="191029"/>
  <extLst>
    <ext xmlns:x14="http://schemas.microsoft.com/office/spreadsheetml/2009/9/main" uri="{8193D73E-4604-4355-AFF4-8A2333D13BE4}">
      <x14:definedNames>
        <x14:definedName name="FV_Volatility">
          <x14:argumentDescriptions count="4">
            <x14:argumentDescription index="0">The beginning balance</x14:argumentDescription>
            <x14:argumentDescription index="1">Annual expected rate of return</x14:argumentDescription>
            <x14:argumentDescription index="2">The standard deviation of the returns</x14:argumentDescription>
            <x14:argumentDescription index="3">Number of years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6" l="1"/>
  <c r="D6" i="16"/>
  <c r="D7" i="16"/>
  <c r="D4" i="16"/>
  <c r="G30" i="17" l="1" a="1"/>
  <c r="G30" i="17" s="1"/>
  <c r="G31" i="17" a="1"/>
  <c r="G31" i="17" s="1"/>
  <c r="G32" i="17" a="1"/>
  <c r="G32" i="17" s="1"/>
  <c r="G33" i="17" a="1"/>
  <c r="G33" i="17" s="1"/>
  <c r="G34" i="17" a="1"/>
  <c r="G34" i="17" s="1"/>
  <c r="G35" i="17" a="1"/>
  <c r="G35" i="17" s="1"/>
  <c r="G36" i="17" a="1"/>
  <c r="G36" i="17" s="1"/>
  <c r="G37" i="17" a="1"/>
  <c r="G37" i="17" s="1"/>
  <c r="G38" i="17" a="1"/>
  <c r="G38" i="17" s="1"/>
  <c r="G39" i="17" a="1"/>
  <c r="G39" i="17" s="1"/>
  <c r="G40" i="17" a="1"/>
  <c r="G40" i="17" s="1"/>
  <c r="G41" i="17" a="1"/>
  <c r="G41" i="17" s="1"/>
  <c r="G42" i="17" a="1"/>
  <c r="G42" i="17" s="1"/>
  <c r="G43" i="17" a="1"/>
  <c r="G43" i="17" s="1"/>
  <c r="G29" i="17" a="1"/>
  <c r="G29" i="17" s="1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E5" i="16"/>
  <c r="E6" i="16"/>
  <c r="E7" i="16"/>
  <c r="E4" i="16"/>
  <c r="A2" i="1"/>
  <c r="A3" i="1"/>
  <c r="A4" i="1"/>
  <c r="A5" i="1"/>
  <c r="A6" i="1"/>
  <c r="A7" i="1"/>
  <c r="A8" i="1"/>
  <c r="A9" i="1"/>
  <c r="A10" i="1"/>
  <c r="A1" i="1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K18" i="15"/>
  <c r="J18" i="15"/>
  <c r="I18" i="15"/>
  <c r="H18" i="15"/>
  <c r="G18" i="15"/>
  <c r="F18" i="15"/>
  <c r="E18" i="15"/>
  <c r="D18" i="15"/>
  <c r="C18" i="15"/>
  <c r="B18" i="15"/>
  <c r="K17" i="15"/>
  <c r="J17" i="15"/>
  <c r="I17" i="15"/>
  <c r="H17" i="15"/>
  <c r="G17" i="15"/>
  <c r="F17" i="15"/>
  <c r="E17" i="15"/>
  <c r="D17" i="15"/>
  <c r="C17" i="15"/>
  <c r="B17" i="15"/>
  <c r="K16" i="15"/>
  <c r="J16" i="15"/>
  <c r="I16" i="15"/>
  <c r="H16" i="15"/>
  <c r="G16" i="15"/>
  <c r="F16" i="15"/>
  <c r="E16" i="15"/>
  <c r="D16" i="15"/>
  <c r="C16" i="15"/>
  <c r="B16" i="15"/>
  <c r="K15" i="15"/>
  <c r="J15" i="15"/>
  <c r="I15" i="15"/>
  <c r="H15" i="15"/>
  <c r="G15" i="15"/>
  <c r="F15" i="15"/>
  <c r="E15" i="15"/>
  <c r="D15" i="15"/>
  <c r="C15" i="15"/>
  <c r="B15" i="15"/>
  <c r="K14" i="15"/>
  <c r="J14" i="15"/>
  <c r="I14" i="15"/>
  <c r="H14" i="15"/>
  <c r="G14" i="15"/>
  <c r="F14" i="15"/>
  <c r="E14" i="15"/>
  <c r="D14" i="15"/>
  <c r="C14" i="15"/>
  <c r="B14" i="15"/>
  <c r="K13" i="15"/>
  <c r="J13" i="15"/>
  <c r="I13" i="15"/>
  <c r="H13" i="15"/>
  <c r="G13" i="15"/>
  <c r="F13" i="15"/>
  <c r="E13" i="15"/>
  <c r="D13" i="15"/>
  <c r="C13" i="15"/>
  <c r="B13" i="15"/>
  <c r="K12" i="15"/>
  <c r="J12" i="15"/>
  <c r="I12" i="15"/>
  <c r="H12" i="15"/>
  <c r="G12" i="15"/>
  <c r="F12" i="15"/>
  <c r="E12" i="15"/>
  <c r="D12" i="15"/>
  <c r="C12" i="15"/>
  <c r="B12" i="15"/>
  <c r="K11" i="15"/>
  <c r="J11" i="15"/>
  <c r="I11" i="15"/>
  <c r="H11" i="15"/>
  <c r="G11" i="15"/>
  <c r="F11" i="15"/>
  <c r="E11" i="15"/>
  <c r="D11" i="15"/>
  <c r="C11" i="15"/>
  <c r="B11" i="15"/>
  <c r="K10" i="15"/>
  <c r="J10" i="15"/>
  <c r="I10" i="15"/>
  <c r="H10" i="15"/>
  <c r="G10" i="15"/>
  <c r="F10" i="15"/>
  <c r="E10" i="15"/>
  <c r="D10" i="15"/>
  <c r="C10" i="15"/>
  <c r="B10" i="15"/>
  <c r="K9" i="15"/>
  <c r="J9" i="15"/>
  <c r="I9" i="15"/>
  <c r="H9" i="15"/>
  <c r="G9" i="15"/>
  <c r="F9" i="15"/>
  <c r="E9" i="15"/>
  <c r="D9" i="15"/>
  <c r="C9" i="15"/>
  <c r="A23" i="15" s="1" a="1"/>
  <c r="A23" i="15" s="1"/>
  <c r="L5" i="15" s="1"/>
  <c r="B9" i="15"/>
  <c r="K8" i="15"/>
  <c r="J8" i="15"/>
  <c r="I8" i="15"/>
  <c r="H8" i="15"/>
  <c r="G8" i="15"/>
  <c r="F8" i="15"/>
  <c r="E8" i="15"/>
  <c r="D8" i="15"/>
  <c r="C8" i="15"/>
  <c r="B8" i="15"/>
  <c r="M5" i="15"/>
  <c r="L3" i="15"/>
  <c r="N14" i="15" l="1"/>
  <c r="A1009" i="14"/>
  <c r="B1009" i="14" s="1"/>
  <c r="A11" i="14"/>
  <c r="B11" i="14" s="1"/>
  <c r="A12" i="14"/>
  <c r="B12" i="14" s="1"/>
  <c r="A13" i="14"/>
  <c r="B13" i="14" s="1"/>
  <c r="A14" i="14"/>
  <c r="B14" i="14" s="1"/>
  <c r="A15" i="14"/>
  <c r="B15" i="14" s="1"/>
  <c r="A16" i="14"/>
  <c r="B16" i="14" s="1"/>
  <c r="A17" i="14"/>
  <c r="B17" i="14" s="1"/>
  <c r="A18" i="14"/>
  <c r="B18" i="14" s="1"/>
  <c r="A19" i="14"/>
  <c r="B19" i="14" s="1"/>
  <c r="A20" i="14"/>
  <c r="B20" i="14" s="1"/>
  <c r="A21" i="14"/>
  <c r="B21" i="14" s="1"/>
  <c r="A22" i="14"/>
  <c r="B22" i="14" s="1"/>
  <c r="A23" i="14"/>
  <c r="B23" i="14" s="1"/>
  <c r="A24" i="14"/>
  <c r="B24" i="14" s="1"/>
  <c r="A25" i="14"/>
  <c r="B25" i="14" s="1"/>
  <c r="A26" i="14"/>
  <c r="B26" i="14" s="1"/>
  <c r="A27" i="14"/>
  <c r="B27" i="14" s="1"/>
  <c r="A28" i="14"/>
  <c r="B28" i="14" s="1"/>
  <c r="A29" i="14"/>
  <c r="B29" i="14" s="1"/>
  <c r="A30" i="14"/>
  <c r="B30" i="14" s="1"/>
  <c r="A31" i="14"/>
  <c r="B31" i="14" s="1"/>
  <c r="A32" i="14"/>
  <c r="B32" i="14" s="1"/>
  <c r="A33" i="14"/>
  <c r="B33" i="14" s="1"/>
  <c r="A34" i="14"/>
  <c r="B34" i="14" s="1"/>
  <c r="A35" i="14"/>
  <c r="B35" i="14" s="1"/>
  <c r="A36" i="14"/>
  <c r="B36" i="14" s="1"/>
  <c r="A37" i="14"/>
  <c r="B37" i="14" s="1"/>
  <c r="A38" i="14"/>
  <c r="B38" i="14" s="1"/>
  <c r="A39" i="14"/>
  <c r="B39" i="14" s="1"/>
  <c r="A40" i="14"/>
  <c r="B40" i="14" s="1"/>
  <c r="A41" i="14"/>
  <c r="B41" i="14" s="1"/>
  <c r="A42" i="14"/>
  <c r="B42" i="14" s="1"/>
  <c r="A43" i="14"/>
  <c r="B43" i="14" s="1"/>
  <c r="A44" i="14"/>
  <c r="B44" i="14" s="1"/>
  <c r="A45" i="14"/>
  <c r="B45" i="14" s="1"/>
  <c r="A46" i="14"/>
  <c r="B46" i="14" s="1"/>
  <c r="A47" i="14"/>
  <c r="B47" i="14" s="1"/>
  <c r="A48" i="14"/>
  <c r="B48" i="14" s="1"/>
  <c r="A49" i="14"/>
  <c r="B49" i="14" s="1"/>
  <c r="A50" i="14"/>
  <c r="B50" i="14" s="1"/>
  <c r="A51" i="14"/>
  <c r="B51" i="14" s="1"/>
  <c r="A52" i="14"/>
  <c r="B52" i="14" s="1"/>
  <c r="A53" i="14"/>
  <c r="B53" i="14" s="1"/>
  <c r="A54" i="14"/>
  <c r="B54" i="14" s="1"/>
  <c r="A55" i="14"/>
  <c r="B55" i="14" s="1"/>
  <c r="A56" i="14"/>
  <c r="B56" i="14" s="1"/>
  <c r="A57" i="14"/>
  <c r="B57" i="14" s="1"/>
  <c r="A58" i="14"/>
  <c r="B58" i="14" s="1"/>
  <c r="A59" i="14"/>
  <c r="B59" i="14" s="1"/>
  <c r="A60" i="14"/>
  <c r="B60" i="14" s="1"/>
  <c r="A61" i="14"/>
  <c r="B61" i="14" s="1"/>
  <c r="A62" i="14"/>
  <c r="B62" i="14" s="1"/>
  <c r="A63" i="14"/>
  <c r="B63" i="14" s="1"/>
  <c r="A64" i="14"/>
  <c r="B64" i="14" s="1"/>
  <c r="A65" i="14"/>
  <c r="B65" i="14" s="1"/>
  <c r="A66" i="14"/>
  <c r="B66" i="14" s="1"/>
  <c r="A67" i="14"/>
  <c r="B67" i="14" s="1"/>
  <c r="A68" i="14"/>
  <c r="B68" i="14" s="1"/>
  <c r="A69" i="14"/>
  <c r="B69" i="14" s="1"/>
  <c r="A70" i="14"/>
  <c r="B70" i="14" s="1"/>
  <c r="A71" i="14"/>
  <c r="B71" i="14" s="1"/>
  <c r="A72" i="14"/>
  <c r="B72" i="14" s="1"/>
  <c r="A73" i="14"/>
  <c r="B73" i="14" s="1"/>
  <c r="A74" i="14"/>
  <c r="B74" i="14" s="1"/>
  <c r="A75" i="14"/>
  <c r="B75" i="14" s="1"/>
  <c r="A76" i="14"/>
  <c r="B76" i="14" s="1"/>
  <c r="A77" i="14"/>
  <c r="B77" i="14" s="1"/>
  <c r="A78" i="14"/>
  <c r="B78" i="14" s="1"/>
  <c r="A79" i="14"/>
  <c r="B79" i="14" s="1"/>
  <c r="A80" i="14"/>
  <c r="B80" i="14" s="1"/>
  <c r="A81" i="14"/>
  <c r="B81" i="14" s="1"/>
  <c r="A82" i="14"/>
  <c r="B82" i="14" s="1"/>
  <c r="A83" i="14"/>
  <c r="B83" i="14" s="1"/>
  <c r="A84" i="14"/>
  <c r="B84" i="14" s="1"/>
  <c r="A85" i="14"/>
  <c r="B85" i="14" s="1"/>
  <c r="A86" i="14"/>
  <c r="B86" i="14" s="1"/>
  <c r="A87" i="14"/>
  <c r="B87" i="14" s="1"/>
  <c r="A88" i="14"/>
  <c r="B88" i="14" s="1"/>
  <c r="A89" i="14"/>
  <c r="B89" i="14" s="1"/>
  <c r="A90" i="14"/>
  <c r="B90" i="14" s="1"/>
  <c r="A91" i="14"/>
  <c r="B91" i="14" s="1"/>
  <c r="A92" i="14"/>
  <c r="B92" i="14" s="1"/>
  <c r="A93" i="14"/>
  <c r="B93" i="14" s="1"/>
  <c r="A94" i="14"/>
  <c r="B94" i="14" s="1"/>
  <c r="A95" i="14"/>
  <c r="B95" i="14" s="1"/>
  <c r="A96" i="14"/>
  <c r="B96" i="14" s="1"/>
  <c r="A97" i="14"/>
  <c r="B97" i="14" s="1"/>
  <c r="A98" i="14"/>
  <c r="B98" i="14" s="1"/>
  <c r="A99" i="14"/>
  <c r="B99" i="14" s="1"/>
  <c r="A100" i="14"/>
  <c r="B100" i="14" s="1"/>
  <c r="A101" i="14"/>
  <c r="B101" i="14" s="1"/>
  <c r="A102" i="14"/>
  <c r="B102" i="14" s="1"/>
  <c r="A103" i="14"/>
  <c r="B103" i="14" s="1"/>
  <c r="A104" i="14"/>
  <c r="B104" i="14" s="1"/>
  <c r="A105" i="14"/>
  <c r="B105" i="14" s="1"/>
  <c r="A106" i="14"/>
  <c r="B106" i="14" s="1"/>
  <c r="A107" i="14"/>
  <c r="B107" i="14" s="1"/>
  <c r="A108" i="14"/>
  <c r="B108" i="14" s="1"/>
  <c r="A109" i="14"/>
  <c r="B109" i="14" s="1"/>
  <c r="A110" i="14"/>
  <c r="B110" i="14" s="1"/>
  <c r="A111" i="14"/>
  <c r="B111" i="14" s="1"/>
  <c r="A112" i="14"/>
  <c r="B112" i="14" s="1"/>
  <c r="A113" i="14"/>
  <c r="B113" i="14" s="1"/>
  <c r="A114" i="14"/>
  <c r="B114" i="14" s="1"/>
  <c r="A115" i="14"/>
  <c r="B115" i="14" s="1"/>
  <c r="A116" i="14"/>
  <c r="B116" i="14" s="1"/>
  <c r="A117" i="14"/>
  <c r="B117" i="14" s="1"/>
  <c r="A118" i="14"/>
  <c r="B118" i="14" s="1"/>
  <c r="A119" i="14"/>
  <c r="B119" i="14" s="1"/>
  <c r="A120" i="14"/>
  <c r="B120" i="14" s="1"/>
  <c r="A121" i="14"/>
  <c r="B121" i="14" s="1"/>
  <c r="A122" i="14"/>
  <c r="B122" i="14" s="1"/>
  <c r="A123" i="14"/>
  <c r="B123" i="14" s="1"/>
  <c r="A124" i="14"/>
  <c r="B124" i="14" s="1"/>
  <c r="A125" i="14"/>
  <c r="B125" i="14" s="1"/>
  <c r="A126" i="14"/>
  <c r="B126" i="14" s="1"/>
  <c r="A127" i="14"/>
  <c r="B127" i="14" s="1"/>
  <c r="A128" i="14"/>
  <c r="B128" i="14" s="1"/>
  <c r="A129" i="14"/>
  <c r="B129" i="14" s="1"/>
  <c r="A130" i="14"/>
  <c r="B130" i="14" s="1"/>
  <c r="A131" i="14"/>
  <c r="B131" i="14" s="1"/>
  <c r="A132" i="14"/>
  <c r="B132" i="14" s="1"/>
  <c r="A133" i="14"/>
  <c r="B133" i="14" s="1"/>
  <c r="A134" i="14"/>
  <c r="B134" i="14" s="1"/>
  <c r="A135" i="14"/>
  <c r="B135" i="14" s="1"/>
  <c r="A136" i="14"/>
  <c r="B136" i="14" s="1"/>
  <c r="A137" i="14"/>
  <c r="B137" i="14" s="1"/>
  <c r="A138" i="14"/>
  <c r="B138" i="14" s="1"/>
  <c r="A139" i="14"/>
  <c r="B139" i="14" s="1"/>
  <c r="A140" i="14"/>
  <c r="B140" i="14" s="1"/>
  <c r="A141" i="14"/>
  <c r="B141" i="14" s="1"/>
  <c r="A142" i="14"/>
  <c r="B142" i="14" s="1"/>
  <c r="A143" i="14"/>
  <c r="B143" i="14" s="1"/>
  <c r="A144" i="14"/>
  <c r="B144" i="14" s="1"/>
  <c r="A145" i="14"/>
  <c r="B145" i="14" s="1"/>
  <c r="A146" i="14"/>
  <c r="B146" i="14" s="1"/>
  <c r="A147" i="14"/>
  <c r="B147" i="14" s="1"/>
  <c r="A148" i="14"/>
  <c r="B148" i="14" s="1"/>
  <c r="A149" i="14"/>
  <c r="B149" i="14" s="1"/>
  <c r="A150" i="14"/>
  <c r="B150" i="14" s="1"/>
  <c r="A151" i="14"/>
  <c r="B151" i="14" s="1"/>
  <c r="A152" i="14"/>
  <c r="B152" i="14" s="1"/>
  <c r="A153" i="14"/>
  <c r="B153" i="14" s="1"/>
  <c r="A154" i="14"/>
  <c r="B154" i="14" s="1"/>
  <c r="A155" i="14"/>
  <c r="B155" i="14" s="1"/>
  <c r="A156" i="14"/>
  <c r="B156" i="14" s="1"/>
  <c r="A157" i="14"/>
  <c r="B157" i="14" s="1"/>
  <c r="A158" i="14"/>
  <c r="B158" i="14" s="1"/>
  <c r="A159" i="14"/>
  <c r="B159" i="14" s="1"/>
  <c r="A160" i="14"/>
  <c r="B160" i="14" s="1"/>
  <c r="A161" i="14"/>
  <c r="B161" i="14" s="1"/>
  <c r="A162" i="14"/>
  <c r="B162" i="14" s="1"/>
  <c r="A163" i="14"/>
  <c r="B163" i="14" s="1"/>
  <c r="A164" i="14"/>
  <c r="B164" i="14" s="1"/>
  <c r="A165" i="14"/>
  <c r="B165" i="14" s="1"/>
  <c r="A166" i="14"/>
  <c r="B166" i="14" s="1"/>
  <c r="A167" i="14"/>
  <c r="B167" i="14" s="1"/>
  <c r="A168" i="14"/>
  <c r="B168" i="14" s="1"/>
  <c r="A169" i="14"/>
  <c r="B169" i="14" s="1"/>
  <c r="A170" i="14"/>
  <c r="B170" i="14" s="1"/>
  <c r="A171" i="14"/>
  <c r="B171" i="14" s="1"/>
  <c r="A172" i="14"/>
  <c r="B172" i="14" s="1"/>
  <c r="A173" i="14"/>
  <c r="B173" i="14" s="1"/>
  <c r="A174" i="14"/>
  <c r="B174" i="14" s="1"/>
  <c r="A175" i="14"/>
  <c r="B175" i="14" s="1"/>
  <c r="A176" i="14"/>
  <c r="B176" i="14" s="1"/>
  <c r="A177" i="14"/>
  <c r="B177" i="14" s="1"/>
  <c r="A178" i="14"/>
  <c r="B178" i="14" s="1"/>
  <c r="A179" i="14"/>
  <c r="B179" i="14" s="1"/>
  <c r="A180" i="14"/>
  <c r="B180" i="14" s="1"/>
  <c r="A181" i="14"/>
  <c r="B181" i="14" s="1"/>
  <c r="A182" i="14"/>
  <c r="B182" i="14" s="1"/>
  <c r="A183" i="14"/>
  <c r="B183" i="14" s="1"/>
  <c r="A184" i="14"/>
  <c r="B184" i="14" s="1"/>
  <c r="A185" i="14"/>
  <c r="B185" i="14" s="1"/>
  <c r="A186" i="14"/>
  <c r="B186" i="14" s="1"/>
  <c r="A187" i="14"/>
  <c r="B187" i="14" s="1"/>
  <c r="A188" i="14"/>
  <c r="B188" i="14" s="1"/>
  <c r="A189" i="14"/>
  <c r="B189" i="14" s="1"/>
  <c r="A190" i="14"/>
  <c r="B190" i="14" s="1"/>
  <c r="A191" i="14"/>
  <c r="B191" i="14" s="1"/>
  <c r="A192" i="14"/>
  <c r="B192" i="14" s="1"/>
  <c r="A193" i="14"/>
  <c r="B193" i="14" s="1"/>
  <c r="A194" i="14"/>
  <c r="B194" i="14" s="1"/>
  <c r="A195" i="14"/>
  <c r="B195" i="14" s="1"/>
  <c r="A196" i="14"/>
  <c r="B196" i="14" s="1"/>
  <c r="A197" i="14"/>
  <c r="B197" i="14" s="1"/>
  <c r="A198" i="14"/>
  <c r="B198" i="14" s="1"/>
  <c r="A199" i="14"/>
  <c r="B199" i="14" s="1"/>
  <c r="A200" i="14"/>
  <c r="B200" i="14" s="1"/>
  <c r="A201" i="14"/>
  <c r="B201" i="14" s="1"/>
  <c r="A202" i="14"/>
  <c r="B202" i="14" s="1"/>
  <c r="A203" i="14"/>
  <c r="B203" i="14" s="1"/>
  <c r="A204" i="14"/>
  <c r="B204" i="14" s="1"/>
  <c r="A205" i="14"/>
  <c r="B205" i="14" s="1"/>
  <c r="A206" i="14"/>
  <c r="B206" i="14" s="1"/>
  <c r="A207" i="14"/>
  <c r="B207" i="14" s="1"/>
  <c r="A208" i="14"/>
  <c r="B208" i="14" s="1"/>
  <c r="A209" i="14"/>
  <c r="B209" i="14" s="1"/>
  <c r="A210" i="14"/>
  <c r="B210" i="14" s="1"/>
  <c r="A211" i="14"/>
  <c r="B211" i="14" s="1"/>
  <c r="A212" i="14"/>
  <c r="B212" i="14" s="1"/>
  <c r="A213" i="14"/>
  <c r="B213" i="14" s="1"/>
  <c r="A214" i="14"/>
  <c r="B214" i="14" s="1"/>
  <c r="A215" i="14"/>
  <c r="B215" i="14" s="1"/>
  <c r="A216" i="14"/>
  <c r="B216" i="14" s="1"/>
  <c r="A217" i="14"/>
  <c r="B217" i="14" s="1"/>
  <c r="A218" i="14"/>
  <c r="B218" i="14" s="1"/>
  <c r="A219" i="14"/>
  <c r="B219" i="14" s="1"/>
  <c r="A220" i="14"/>
  <c r="B220" i="14" s="1"/>
  <c r="A221" i="14"/>
  <c r="B221" i="14" s="1"/>
  <c r="A222" i="14"/>
  <c r="B222" i="14" s="1"/>
  <c r="A223" i="14"/>
  <c r="B223" i="14" s="1"/>
  <c r="A224" i="14"/>
  <c r="B224" i="14" s="1"/>
  <c r="A225" i="14"/>
  <c r="B225" i="14" s="1"/>
  <c r="A226" i="14"/>
  <c r="B226" i="14" s="1"/>
  <c r="A227" i="14"/>
  <c r="B227" i="14" s="1"/>
  <c r="A228" i="14"/>
  <c r="B228" i="14" s="1"/>
  <c r="A229" i="14"/>
  <c r="B229" i="14" s="1"/>
  <c r="A230" i="14"/>
  <c r="B230" i="14" s="1"/>
  <c r="A231" i="14"/>
  <c r="B231" i="14" s="1"/>
  <c r="A232" i="14"/>
  <c r="B232" i="14" s="1"/>
  <c r="A233" i="14"/>
  <c r="B233" i="14" s="1"/>
  <c r="A234" i="14"/>
  <c r="B234" i="14" s="1"/>
  <c r="A235" i="14"/>
  <c r="B235" i="14" s="1"/>
  <c r="A236" i="14"/>
  <c r="B236" i="14" s="1"/>
  <c r="A237" i="14"/>
  <c r="B237" i="14" s="1"/>
  <c r="A238" i="14"/>
  <c r="B238" i="14" s="1"/>
  <c r="A239" i="14"/>
  <c r="B239" i="14" s="1"/>
  <c r="A240" i="14"/>
  <c r="B240" i="14" s="1"/>
  <c r="A241" i="14"/>
  <c r="B241" i="14" s="1"/>
  <c r="A242" i="14"/>
  <c r="B242" i="14" s="1"/>
  <c r="A243" i="14"/>
  <c r="B243" i="14" s="1"/>
  <c r="A244" i="14"/>
  <c r="B244" i="14" s="1"/>
  <c r="A245" i="14"/>
  <c r="B245" i="14" s="1"/>
  <c r="A246" i="14"/>
  <c r="B246" i="14" s="1"/>
  <c r="A247" i="14"/>
  <c r="B247" i="14" s="1"/>
  <c r="A248" i="14"/>
  <c r="B248" i="14" s="1"/>
  <c r="A249" i="14"/>
  <c r="B249" i="14" s="1"/>
  <c r="A250" i="14"/>
  <c r="B250" i="14" s="1"/>
  <c r="A251" i="14"/>
  <c r="B251" i="14" s="1"/>
  <c r="A252" i="14"/>
  <c r="B252" i="14" s="1"/>
  <c r="A253" i="14"/>
  <c r="B253" i="14" s="1"/>
  <c r="A254" i="14"/>
  <c r="B254" i="14" s="1"/>
  <c r="A255" i="14"/>
  <c r="B255" i="14" s="1"/>
  <c r="A256" i="14"/>
  <c r="B256" i="14" s="1"/>
  <c r="A257" i="14"/>
  <c r="B257" i="14" s="1"/>
  <c r="A258" i="14"/>
  <c r="B258" i="14" s="1"/>
  <c r="A259" i="14"/>
  <c r="B259" i="14" s="1"/>
  <c r="A260" i="14"/>
  <c r="B260" i="14" s="1"/>
  <c r="A261" i="14"/>
  <c r="B261" i="14" s="1"/>
  <c r="A262" i="14"/>
  <c r="B262" i="14" s="1"/>
  <c r="A263" i="14"/>
  <c r="B263" i="14" s="1"/>
  <c r="A264" i="14"/>
  <c r="B264" i="14" s="1"/>
  <c r="A265" i="14"/>
  <c r="B265" i="14" s="1"/>
  <c r="A266" i="14"/>
  <c r="B266" i="14" s="1"/>
  <c r="A267" i="14"/>
  <c r="B267" i="14" s="1"/>
  <c r="A268" i="14"/>
  <c r="B268" i="14" s="1"/>
  <c r="A269" i="14"/>
  <c r="B269" i="14" s="1"/>
  <c r="A270" i="14"/>
  <c r="B270" i="14" s="1"/>
  <c r="A271" i="14"/>
  <c r="B271" i="14" s="1"/>
  <c r="A272" i="14"/>
  <c r="B272" i="14" s="1"/>
  <c r="A273" i="14"/>
  <c r="B273" i="14" s="1"/>
  <c r="A274" i="14"/>
  <c r="B274" i="14" s="1"/>
  <c r="A275" i="14"/>
  <c r="B275" i="14" s="1"/>
  <c r="A276" i="14"/>
  <c r="B276" i="14" s="1"/>
  <c r="A277" i="14"/>
  <c r="B277" i="14" s="1"/>
  <c r="A278" i="14"/>
  <c r="B278" i="14" s="1"/>
  <c r="A279" i="14"/>
  <c r="B279" i="14" s="1"/>
  <c r="A280" i="14"/>
  <c r="B280" i="14" s="1"/>
  <c r="A281" i="14"/>
  <c r="B281" i="14" s="1"/>
  <c r="A282" i="14"/>
  <c r="B282" i="14" s="1"/>
  <c r="A283" i="14"/>
  <c r="B283" i="14" s="1"/>
  <c r="A284" i="14"/>
  <c r="B284" i="14" s="1"/>
  <c r="A285" i="14"/>
  <c r="B285" i="14" s="1"/>
  <c r="A286" i="14"/>
  <c r="B286" i="14" s="1"/>
  <c r="A287" i="14"/>
  <c r="B287" i="14" s="1"/>
  <c r="A288" i="14"/>
  <c r="B288" i="14" s="1"/>
  <c r="A289" i="14"/>
  <c r="B289" i="14" s="1"/>
  <c r="A290" i="14"/>
  <c r="B290" i="14" s="1"/>
  <c r="A291" i="14"/>
  <c r="B291" i="14" s="1"/>
  <c r="A292" i="14"/>
  <c r="B292" i="14" s="1"/>
  <c r="A293" i="14"/>
  <c r="B293" i="14" s="1"/>
  <c r="A294" i="14"/>
  <c r="B294" i="14" s="1"/>
  <c r="A295" i="14"/>
  <c r="B295" i="14" s="1"/>
  <c r="A296" i="14"/>
  <c r="B296" i="14" s="1"/>
  <c r="A297" i="14"/>
  <c r="B297" i="14" s="1"/>
  <c r="A298" i="14"/>
  <c r="B298" i="14" s="1"/>
  <c r="A299" i="14"/>
  <c r="B299" i="14" s="1"/>
  <c r="A300" i="14"/>
  <c r="B300" i="14" s="1"/>
  <c r="A301" i="14"/>
  <c r="B301" i="14" s="1"/>
  <c r="A302" i="14"/>
  <c r="B302" i="14" s="1"/>
  <c r="A303" i="14"/>
  <c r="B303" i="14" s="1"/>
  <c r="A304" i="14"/>
  <c r="B304" i="14" s="1"/>
  <c r="A305" i="14"/>
  <c r="B305" i="14" s="1"/>
  <c r="A306" i="14"/>
  <c r="B306" i="14" s="1"/>
  <c r="A307" i="14"/>
  <c r="B307" i="14" s="1"/>
  <c r="A308" i="14"/>
  <c r="B308" i="14" s="1"/>
  <c r="A309" i="14"/>
  <c r="B309" i="14" s="1"/>
  <c r="A310" i="14"/>
  <c r="B310" i="14" s="1"/>
  <c r="A311" i="14"/>
  <c r="B311" i="14" s="1"/>
  <c r="A312" i="14"/>
  <c r="B312" i="14" s="1"/>
  <c r="A313" i="14"/>
  <c r="B313" i="14" s="1"/>
  <c r="A314" i="14"/>
  <c r="B314" i="14" s="1"/>
  <c r="A315" i="14"/>
  <c r="B315" i="14" s="1"/>
  <c r="A316" i="14"/>
  <c r="B316" i="14" s="1"/>
  <c r="A317" i="14"/>
  <c r="B317" i="14" s="1"/>
  <c r="A318" i="14"/>
  <c r="B318" i="14" s="1"/>
  <c r="A319" i="14"/>
  <c r="B319" i="14" s="1"/>
  <c r="A320" i="14"/>
  <c r="B320" i="14" s="1"/>
  <c r="A321" i="14"/>
  <c r="B321" i="14" s="1"/>
  <c r="A322" i="14"/>
  <c r="B322" i="14" s="1"/>
  <c r="A323" i="14"/>
  <c r="B323" i="14" s="1"/>
  <c r="A324" i="14"/>
  <c r="B324" i="14" s="1"/>
  <c r="A325" i="14"/>
  <c r="B325" i="14" s="1"/>
  <c r="A326" i="14"/>
  <c r="B326" i="14" s="1"/>
  <c r="A327" i="14"/>
  <c r="B327" i="14" s="1"/>
  <c r="A328" i="14"/>
  <c r="B328" i="14" s="1"/>
  <c r="A329" i="14"/>
  <c r="B329" i="14" s="1"/>
  <c r="A330" i="14"/>
  <c r="B330" i="14" s="1"/>
  <c r="A331" i="14"/>
  <c r="B331" i="14" s="1"/>
  <c r="A332" i="14"/>
  <c r="B332" i="14" s="1"/>
  <c r="A333" i="14"/>
  <c r="B333" i="14" s="1"/>
  <c r="A334" i="14"/>
  <c r="B334" i="14" s="1"/>
  <c r="A335" i="14"/>
  <c r="B335" i="14" s="1"/>
  <c r="A336" i="14"/>
  <c r="B336" i="14" s="1"/>
  <c r="A337" i="14"/>
  <c r="B337" i="14" s="1"/>
  <c r="A338" i="14"/>
  <c r="B338" i="14" s="1"/>
  <c r="A339" i="14"/>
  <c r="B339" i="14" s="1"/>
  <c r="A340" i="14"/>
  <c r="B340" i="14" s="1"/>
  <c r="A341" i="14"/>
  <c r="B341" i="14" s="1"/>
  <c r="A342" i="14"/>
  <c r="B342" i="14" s="1"/>
  <c r="A343" i="14"/>
  <c r="B343" i="14" s="1"/>
  <c r="A344" i="14"/>
  <c r="B344" i="14" s="1"/>
  <c r="A345" i="14"/>
  <c r="B345" i="14" s="1"/>
  <c r="A346" i="14"/>
  <c r="B346" i="14" s="1"/>
  <c r="A347" i="14"/>
  <c r="B347" i="14" s="1"/>
  <c r="A348" i="14"/>
  <c r="B348" i="14" s="1"/>
  <c r="A349" i="14"/>
  <c r="B349" i="14" s="1"/>
  <c r="A350" i="14"/>
  <c r="B350" i="14" s="1"/>
  <c r="A351" i="14"/>
  <c r="B351" i="14" s="1"/>
  <c r="A352" i="14"/>
  <c r="B352" i="14" s="1"/>
  <c r="A353" i="14"/>
  <c r="B353" i="14" s="1"/>
  <c r="A354" i="14"/>
  <c r="B354" i="14" s="1"/>
  <c r="A355" i="14"/>
  <c r="B355" i="14" s="1"/>
  <c r="A356" i="14"/>
  <c r="B356" i="14" s="1"/>
  <c r="A357" i="14"/>
  <c r="B357" i="14" s="1"/>
  <c r="A358" i="14"/>
  <c r="B358" i="14" s="1"/>
  <c r="A359" i="14"/>
  <c r="B359" i="14" s="1"/>
  <c r="A360" i="14"/>
  <c r="B360" i="14" s="1"/>
  <c r="A361" i="14"/>
  <c r="B361" i="14" s="1"/>
  <c r="A362" i="14"/>
  <c r="B362" i="14" s="1"/>
  <c r="A363" i="14"/>
  <c r="B363" i="14" s="1"/>
  <c r="A364" i="14"/>
  <c r="B364" i="14" s="1"/>
  <c r="A365" i="14"/>
  <c r="B365" i="14" s="1"/>
  <c r="A366" i="14"/>
  <c r="B366" i="14" s="1"/>
  <c r="A367" i="14"/>
  <c r="B367" i="14" s="1"/>
  <c r="A368" i="14"/>
  <c r="B368" i="14" s="1"/>
  <c r="A369" i="14"/>
  <c r="B369" i="14" s="1"/>
  <c r="A370" i="14"/>
  <c r="B370" i="14" s="1"/>
  <c r="A371" i="14"/>
  <c r="B371" i="14" s="1"/>
  <c r="A372" i="14"/>
  <c r="B372" i="14" s="1"/>
  <c r="A373" i="14"/>
  <c r="B373" i="14" s="1"/>
  <c r="A374" i="14"/>
  <c r="B374" i="14" s="1"/>
  <c r="A375" i="14"/>
  <c r="B375" i="14" s="1"/>
  <c r="A376" i="14"/>
  <c r="B376" i="14" s="1"/>
  <c r="A377" i="14"/>
  <c r="B377" i="14" s="1"/>
  <c r="A378" i="14"/>
  <c r="B378" i="14" s="1"/>
  <c r="A379" i="14"/>
  <c r="B379" i="14" s="1"/>
  <c r="A380" i="14"/>
  <c r="B380" i="14" s="1"/>
  <c r="A381" i="14"/>
  <c r="B381" i="14" s="1"/>
  <c r="A382" i="14"/>
  <c r="B382" i="14" s="1"/>
  <c r="A383" i="14"/>
  <c r="B383" i="14" s="1"/>
  <c r="A384" i="14"/>
  <c r="B384" i="14" s="1"/>
  <c r="A385" i="14"/>
  <c r="B385" i="14" s="1"/>
  <c r="A386" i="14"/>
  <c r="B386" i="14" s="1"/>
  <c r="A387" i="14"/>
  <c r="B387" i="14" s="1"/>
  <c r="A388" i="14"/>
  <c r="B388" i="14" s="1"/>
  <c r="A389" i="14"/>
  <c r="B389" i="14" s="1"/>
  <c r="A390" i="14"/>
  <c r="B390" i="14" s="1"/>
  <c r="A391" i="14"/>
  <c r="B391" i="14" s="1"/>
  <c r="A392" i="14"/>
  <c r="B392" i="14" s="1"/>
  <c r="A393" i="14"/>
  <c r="B393" i="14" s="1"/>
  <c r="A394" i="14"/>
  <c r="B394" i="14" s="1"/>
  <c r="A395" i="14"/>
  <c r="B395" i="14" s="1"/>
  <c r="A396" i="14"/>
  <c r="B396" i="14" s="1"/>
  <c r="A397" i="14"/>
  <c r="B397" i="14" s="1"/>
  <c r="A398" i="14"/>
  <c r="B398" i="14" s="1"/>
  <c r="A399" i="14"/>
  <c r="B399" i="14" s="1"/>
  <c r="A400" i="14"/>
  <c r="B400" i="14" s="1"/>
  <c r="A401" i="14"/>
  <c r="B401" i="14" s="1"/>
  <c r="A402" i="14"/>
  <c r="B402" i="14" s="1"/>
  <c r="A403" i="14"/>
  <c r="B403" i="14" s="1"/>
  <c r="A404" i="14"/>
  <c r="B404" i="14" s="1"/>
  <c r="A405" i="14"/>
  <c r="B405" i="14" s="1"/>
  <c r="A406" i="14"/>
  <c r="B406" i="14" s="1"/>
  <c r="A407" i="14"/>
  <c r="B407" i="14" s="1"/>
  <c r="A408" i="14"/>
  <c r="B408" i="14" s="1"/>
  <c r="A409" i="14"/>
  <c r="B409" i="14" s="1"/>
  <c r="A410" i="14"/>
  <c r="B410" i="14" s="1"/>
  <c r="A411" i="14"/>
  <c r="B411" i="14" s="1"/>
  <c r="A412" i="14"/>
  <c r="B412" i="14" s="1"/>
  <c r="A413" i="14"/>
  <c r="B413" i="14" s="1"/>
  <c r="A414" i="14"/>
  <c r="B414" i="14" s="1"/>
  <c r="A415" i="14"/>
  <c r="B415" i="14" s="1"/>
  <c r="A416" i="14"/>
  <c r="B416" i="14" s="1"/>
  <c r="A417" i="14"/>
  <c r="B417" i="14" s="1"/>
  <c r="A418" i="14"/>
  <c r="B418" i="14" s="1"/>
  <c r="A419" i="14"/>
  <c r="B419" i="14" s="1"/>
  <c r="A420" i="14"/>
  <c r="B420" i="14" s="1"/>
  <c r="A421" i="14"/>
  <c r="B421" i="14" s="1"/>
  <c r="A422" i="14"/>
  <c r="B422" i="14" s="1"/>
  <c r="A423" i="14"/>
  <c r="B423" i="14" s="1"/>
  <c r="A424" i="14"/>
  <c r="B424" i="14" s="1"/>
  <c r="A425" i="14"/>
  <c r="B425" i="14" s="1"/>
  <c r="A426" i="14"/>
  <c r="B426" i="14" s="1"/>
  <c r="A427" i="14"/>
  <c r="B427" i="14" s="1"/>
  <c r="A428" i="14"/>
  <c r="B428" i="14" s="1"/>
  <c r="A429" i="14"/>
  <c r="B429" i="14" s="1"/>
  <c r="A430" i="14"/>
  <c r="B430" i="14" s="1"/>
  <c r="A431" i="14"/>
  <c r="B431" i="14" s="1"/>
  <c r="A432" i="14"/>
  <c r="B432" i="14" s="1"/>
  <c r="A433" i="14"/>
  <c r="B433" i="14" s="1"/>
  <c r="A434" i="14"/>
  <c r="B434" i="14" s="1"/>
  <c r="A435" i="14"/>
  <c r="B435" i="14" s="1"/>
  <c r="A436" i="14"/>
  <c r="B436" i="14" s="1"/>
  <c r="A437" i="14"/>
  <c r="B437" i="14" s="1"/>
  <c r="A438" i="14"/>
  <c r="B438" i="14" s="1"/>
  <c r="A439" i="14"/>
  <c r="B439" i="14" s="1"/>
  <c r="A440" i="14"/>
  <c r="B440" i="14" s="1"/>
  <c r="A441" i="14"/>
  <c r="B441" i="14" s="1"/>
  <c r="A442" i="14"/>
  <c r="B442" i="14" s="1"/>
  <c r="A443" i="14"/>
  <c r="B443" i="14" s="1"/>
  <c r="A444" i="14"/>
  <c r="B444" i="14" s="1"/>
  <c r="A445" i="14"/>
  <c r="B445" i="14" s="1"/>
  <c r="A446" i="14"/>
  <c r="B446" i="14" s="1"/>
  <c r="A447" i="14"/>
  <c r="B447" i="14" s="1"/>
  <c r="A448" i="14"/>
  <c r="B448" i="14" s="1"/>
  <c r="A449" i="14"/>
  <c r="B449" i="14" s="1"/>
  <c r="A450" i="14"/>
  <c r="B450" i="14" s="1"/>
  <c r="A451" i="14"/>
  <c r="B451" i="14" s="1"/>
  <c r="A452" i="14"/>
  <c r="B452" i="14" s="1"/>
  <c r="A453" i="14"/>
  <c r="B453" i="14" s="1"/>
  <c r="A454" i="14"/>
  <c r="B454" i="14" s="1"/>
  <c r="A455" i="14"/>
  <c r="B455" i="14" s="1"/>
  <c r="A456" i="14"/>
  <c r="B456" i="14" s="1"/>
  <c r="A457" i="14"/>
  <c r="B457" i="14" s="1"/>
  <c r="A458" i="14"/>
  <c r="B458" i="14" s="1"/>
  <c r="A459" i="14"/>
  <c r="B459" i="14" s="1"/>
  <c r="A460" i="14"/>
  <c r="B460" i="14" s="1"/>
  <c r="A461" i="14"/>
  <c r="B461" i="14" s="1"/>
  <c r="A462" i="14"/>
  <c r="B462" i="14" s="1"/>
  <c r="A463" i="14"/>
  <c r="B463" i="14" s="1"/>
  <c r="A464" i="14"/>
  <c r="B464" i="14" s="1"/>
  <c r="A465" i="14"/>
  <c r="B465" i="14" s="1"/>
  <c r="A466" i="14"/>
  <c r="B466" i="14" s="1"/>
  <c r="A467" i="14"/>
  <c r="B467" i="14" s="1"/>
  <c r="A468" i="14"/>
  <c r="B468" i="14" s="1"/>
  <c r="A469" i="14"/>
  <c r="B469" i="14" s="1"/>
  <c r="A470" i="14"/>
  <c r="B470" i="14" s="1"/>
  <c r="A471" i="14"/>
  <c r="B471" i="14" s="1"/>
  <c r="A472" i="14"/>
  <c r="B472" i="14" s="1"/>
  <c r="A473" i="14"/>
  <c r="B473" i="14" s="1"/>
  <c r="A474" i="14"/>
  <c r="B474" i="14" s="1"/>
  <c r="A475" i="14"/>
  <c r="B475" i="14" s="1"/>
  <c r="A476" i="14"/>
  <c r="B476" i="14" s="1"/>
  <c r="A477" i="14"/>
  <c r="B477" i="14" s="1"/>
  <c r="A478" i="14"/>
  <c r="B478" i="14" s="1"/>
  <c r="A479" i="14"/>
  <c r="B479" i="14" s="1"/>
  <c r="A480" i="14"/>
  <c r="B480" i="14" s="1"/>
  <c r="A481" i="14"/>
  <c r="B481" i="14" s="1"/>
  <c r="A482" i="14"/>
  <c r="B482" i="14" s="1"/>
  <c r="A483" i="14"/>
  <c r="B483" i="14" s="1"/>
  <c r="A484" i="14"/>
  <c r="B484" i="14" s="1"/>
  <c r="A485" i="14"/>
  <c r="B485" i="14" s="1"/>
  <c r="A486" i="14"/>
  <c r="B486" i="14" s="1"/>
  <c r="A487" i="14"/>
  <c r="B487" i="14" s="1"/>
  <c r="A488" i="14"/>
  <c r="B488" i="14" s="1"/>
  <c r="A489" i="14"/>
  <c r="B489" i="14" s="1"/>
  <c r="A490" i="14"/>
  <c r="B490" i="14" s="1"/>
  <c r="A491" i="14"/>
  <c r="B491" i="14" s="1"/>
  <c r="A492" i="14"/>
  <c r="B492" i="14" s="1"/>
  <c r="A493" i="14"/>
  <c r="B493" i="14" s="1"/>
  <c r="A494" i="14"/>
  <c r="B494" i="14" s="1"/>
  <c r="A495" i="14"/>
  <c r="B495" i="14" s="1"/>
  <c r="A496" i="14"/>
  <c r="B496" i="14" s="1"/>
  <c r="A497" i="14"/>
  <c r="B497" i="14" s="1"/>
  <c r="A498" i="14"/>
  <c r="B498" i="14" s="1"/>
  <c r="A499" i="14"/>
  <c r="B499" i="14" s="1"/>
  <c r="A500" i="14"/>
  <c r="B500" i="14" s="1"/>
  <c r="A501" i="14"/>
  <c r="B501" i="14" s="1"/>
  <c r="A502" i="14"/>
  <c r="B502" i="14" s="1"/>
  <c r="A503" i="14"/>
  <c r="B503" i="14" s="1"/>
  <c r="A504" i="14"/>
  <c r="B504" i="14" s="1"/>
  <c r="A505" i="14"/>
  <c r="B505" i="14" s="1"/>
  <c r="A506" i="14"/>
  <c r="B506" i="14" s="1"/>
  <c r="A507" i="14"/>
  <c r="B507" i="14" s="1"/>
  <c r="A508" i="14"/>
  <c r="B508" i="14" s="1"/>
  <c r="A509" i="14"/>
  <c r="B509" i="14" s="1"/>
  <c r="A510" i="14"/>
  <c r="B510" i="14" s="1"/>
  <c r="A511" i="14"/>
  <c r="B511" i="14" s="1"/>
  <c r="A512" i="14"/>
  <c r="B512" i="14" s="1"/>
  <c r="A513" i="14"/>
  <c r="B513" i="14" s="1"/>
  <c r="A514" i="14"/>
  <c r="B514" i="14" s="1"/>
  <c r="A515" i="14"/>
  <c r="B515" i="14" s="1"/>
  <c r="A516" i="14"/>
  <c r="B516" i="14" s="1"/>
  <c r="A517" i="14"/>
  <c r="B517" i="14" s="1"/>
  <c r="A518" i="14"/>
  <c r="B518" i="14" s="1"/>
  <c r="A519" i="14"/>
  <c r="B519" i="14" s="1"/>
  <c r="A520" i="14"/>
  <c r="B520" i="14" s="1"/>
  <c r="A521" i="14"/>
  <c r="B521" i="14" s="1"/>
  <c r="A522" i="14"/>
  <c r="B522" i="14" s="1"/>
  <c r="A523" i="14"/>
  <c r="B523" i="14" s="1"/>
  <c r="A524" i="14"/>
  <c r="B524" i="14" s="1"/>
  <c r="A525" i="14"/>
  <c r="B525" i="14" s="1"/>
  <c r="A526" i="14"/>
  <c r="B526" i="14" s="1"/>
  <c r="A527" i="14"/>
  <c r="B527" i="14" s="1"/>
  <c r="A528" i="14"/>
  <c r="B528" i="14" s="1"/>
  <c r="A529" i="14"/>
  <c r="B529" i="14" s="1"/>
  <c r="A530" i="14"/>
  <c r="B530" i="14" s="1"/>
  <c r="A531" i="14"/>
  <c r="B531" i="14" s="1"/>
  <c r="A532" i="14"/>
  <c r="B532" i="14" s="1"/>
  <c r="A533" i="14"/>
  <c r="B533" i="14" s="1"/>
  <c r="A534" i="14"/>
  <c r="B534" i="14" s="1"/>
  <c r="A535" i="14"/>
  <c r="B535" i="14" s="1"/>
  <c r="A536" i="14"/>
  <c r="B536" i="14" s="1"/>
  <c r="A537" i="14"/>
  <c r="B537" i="14" s="1"/>
  <c r="A538" i="14"/>
  <c r="B538" i="14" s="1"/>
  <c r="A539" i="14"/>
  <c r="B539" i="14" s="1"/>
  <c r="A540" i="14"/>
  <c r="B540" i="14" s="1"/>
  <c r="A541" i="14"/>
  <c r="B541" i="14" s="1"/>
  <c r="A542" i="14"/>
  <c r="B542" i="14" s="1"/>
  <c r="A543" i="14"/>
  <c r="B543" i="14" s="1"/>
  <c r="A544" i="14"/>
  <c r="B544" i="14" s="1"/>
  <c r="A545" i="14"/>
  <c r="B545" i="14" s="1"/>
  <c r="A546" i="14"/>
  <c r="B546" i="14" s="1"/>
  <c r="A547" i="14"/>
  <c r="B547" i="14" s="1"/>
  <c r="A548" i="14"/>
  <c r="B548" i="14" s="1"/>
  <c r="A549" i="14"/>
  <c r="B549" i="14" s="1"/>
  <c r="A550" i="14"/>
  <c r="B550" i="14" s="1"/>
  <c r="A551" i="14"/>
  <c r="B551" i="14" s="1"/>
  <c r="A552" i="14"/>
  <c r="B552" i="14" s="1"/>
  <c r="A553" i="14"/>
  <c r="B553" i="14" s="1"/>
  <c r="A554" i="14"/>
  <c r="B554" i="14" s="1"/>
  <c r="A555" i="14"/>
  <c r="B555" i="14" s="1"/>
  <c r="A556" i="14"/>
  <c r="B556" i="14" s="1"/>
  <c r="A557" i="14"/>
  <c r="B557" i="14" s="1"/>
  <c r="A558" i="14"/>
  <c r="B558" i="14" s="1"/>
  <c r="A559" i="14"/>
  <c r="B559" i="14" s="1"/>
  <c r="A560" i="14"/>
  <c r="B560" i="14" s="1"/>
  <c r="A561" i="14"/>
  <c r="B561" i="14" s="1"/>
  <c r="A562" i="14"/>
  <c r="B562" i="14" s="1"/>
  <c r="A563" i="14"/>
  <c r="B563" i="14" s="1"/>
  <c r="A564" i="14"/>
  <c r="B564" i="14" s="1"/>
  <c r="A565" i="14"/>
  <c r="B565" i="14" s="1"/>
  <c r="A566" i="14"/>
  <c r="B566" i="14" s="1"/>
  <c r="A567" i="14"/>
  <c r="B567" i="14" s="1"/>
  <c r="A568" i="14"/>
  <c r="B568" i="14" s="1"/>
  <c r="A569" i="14"/>
  <c r="B569" i="14" s="1"/>
  <c r="A570" i="14"/>
  <c r="B570" i="14" s="1"/>
  <c r="A571" i="14"/>
  <c r="B571" i="14" s="1"/>
  <c r="A572" i="14"/>
  <c r="B572" i="14" s="1"/>
  <c r="A573" i="14"/>
  <c r="B573" i="14" s="1"/>
  <c r="A574" i="14"/>
  <c r="B574" i="14" s="1"/>
  <c r="A575" i="14"/>
  <c r="B575" i="14" s="1"/>
  <c r="A576" i="14"/>
  <c r="B576" i="14" s="1"/>
  <c r="A577" i="14"/>
  <c r="B577" i="14" s="1"/>
  <c r="A578" i="14"/>
  <c r="B578" i="14" s="1"/>
  <c r="A579" i="14"/>
  <c r="B579" i="14" s="1"/>
  <c r="A580" i="14"/>
  <c r="B580" i="14" s="1"/>
  <c r="A581" i="14"/>
  <c r="B581" i="14" s="1"/>
  <c r="A582" i="14"/>
  <c r="B582" i="14" s="1"/>
  <c r="A583" i="14"/>
  <c r="B583" i="14" s="1"/>
  <c r="A584" i="14"/>
  <c r="B584" i="14" s="1"/>
  <c r="A585" i="14"/>
  <c r="B585" i="14" s="1"/>
  <c r="A586" i="14"/>
  <c r="B586" i="14" s="1"/>
  <c r="A587" i="14"/>
  <c r="B587" i="14" s="1"/>
  <c r="A588" i="14"/>
  <c r="B588" i="14" s="1"/>
  <c r="A589" i="14"/>
  <c r="B589" i="14" s="1"/>
  <c r="A590" i="14"/>
  <c r="B590" i="14" s="1"/>
  <c r="A591" i="14"/>
  <c r="B591" i="14" s="1"/>
  <c r="A592" i="14"/>
  <c r="B592" i="14" s="1"/>
  <c r="A593" i="14"/>
  <c r="B593" i="14" s="1"/>
  <c r="A594" i="14"/>
  <c r="B594" i="14" s="1"/>
  <c r="A595" i="14"/>
  <c r="B595" i="14" s="1"/>
  <c r="A596" i="14"/>
  <c r="B596" i="14" s="1"/>
  <c r="A597" i="14"/>
  <c r="B597" i="14" s="1"/>
  <c r="A598" i="14"/>
  <c r="B598" i="14" s="1"/>
  <c r="A599" i="14"/>
  <c r="B599" i="14" s="1"/>
  <c r="A600" i="14"/>
  <c r="B600" i="14" s="1"/>
  <c r="A601" i="14"/>
  <c r="B601" i="14" s="1"/>
  <c r="A602" i="14"/>
  <c r="B602" i="14" s="1"/>
  <c r="A603" i="14"/>
  <c r="B603" i="14" s="1"/>
  <c r="A604" i="14"/>
  <c r="B604" i="14" s="1"/>
  <c r="A605" i="14"/>
  <c r="B605" i="14" s="1"/>
  <c r="A606" i="14"/>
  <c r="B606" i="14" s="1"/>
  <c r="A607" i="14"/>
  <c r="B607" i="14" s="1"/>
  <c r="A608" i="14"/>
  <c r="B608" i="14" s="1"/>
  <c r="A609" i="14"/>
  <c r="B609" i="14" s="1"/>
  <c r="A610" i="14"/>
  <c r="B610" i="14" s="1"/>
  <c r="A611" i="14"/>
  <c r="B611" i="14" s="1"/>
  <c r="A612" i="14"/>
  <c r="B612" i="14" s="1"/>
  <c r="A613" i="14"/>
  <c r="B613" i="14" s="1"/>
  <c r="A614" i="14"/>
  <c r="B614" i="14" s="1"/>
  <c r="A615" i="14"/>
  <c r="B615" i="14" s="1"/>
  <c r="A616" i="14"/>
  <c r="B616" i="14" s="1"/>
  <c r="A617" i="14"/>
  <c r="B617" i="14" s="1"/>
  <c r="A618" i="14"/>
  <c r="B618" i="14" s="1"/>
  <c r="A619" i="14"/>
  <c r="B619" i="14" s="1"/>
  <c r="A620" i="14"/>
  <c r="B620" i="14" s="1"/>
  <c r="A621" i="14"/>
  <c r="B621" i="14" s="1"/>
  <c r="A622" i="14"/>
  <c r="B622" i="14" s="1"/>
  <c r="A623" i="14"/>
  <c r="B623" i="14" s="1"/>
  <c r="A624" i="14"/>
  <c r="B624" i="14" s="1"/>
  <c r="A625" i="14"/>
  <c r="B625" i="14" s="1"/>
  <c r="A626" i="14"/>
  <c r="B626" i="14" s="1"/>
  <c r="A627" i="14"/>
  <c r="B627" i="14" s="1"/>
  <c r="A628" i="14"/>
  <c r="B628" i="14" s="1"/>
  <c r="A629" i="14"/>
  <c r="B629" i="14" s="1"/>
  <c r="A630" i="14"/>
  <c r="B630" i="14" s="1"/>
  <c r="A631" i="14"/>
  <c r="B631" i="14" s="1"/>
  <c r="A632" i="14"/>
  <c r="B632" i="14" s="1"/>
  <c r="A633" i="14"/>
  <c r="B633" i="14" s="1"/>
  <c r="A634" i="14"/>
  <c r="B634" i="14" s="1"/>
  <c r="A635" i="14"/>
  <c r="B635" i="14" s="1"/>
  <c r="A636" i="14"/>
  <c r="B636" i="14" s="1"/>
  <c r="A637" i="14"/>
  <c r="B637" i="14" s="1"/>
  <c r="A638" i="14"/>
  <c r="B638" i="14" s="1"/>
  <c r="A639" i="14"/>
  <c r="B639" i="14" s="1"/>
  <c r="A640" i="14"/>
  <c r="B640" i="14" s="1"/>
  <c r="A641" i="14"/>
  <c r="B641" i="14" s="1"/>
  <c r="A642" i="14"/>
  <c r="B642" i="14" s="1"/>
  <c r="A643" i="14"/>
  <c r="B643" i="14" s="1"/>
  <c r="A644" i="14"/>
  <c r="B644" i="14" s="1"/>
  <c r="A645" i="14"/>
  <c r="B645" i="14" s="1"/>
  <c r="A646" i="14"/>
  <c r="B646" i="14" s="1"/>
  <c r="A647" i="14"/>
  <c r="B647" i="14" s="1"/>
  <c r="A648" i="14"/>
  <c r="B648" i="14" s="1"/>
  <c r="A649" i="14"/>
  <c r="B649" i="14" s="1"/>
  <c r="A650" i="14"/>
  <c r="B650" i="14" s="1"/>
  <c r="A651" i="14"/>
  <c r="B651" i="14" s="1"/>
  <c r="A652" i="14"/>
  <c r="B652" i="14" s="1"/>
  <c r="A653" i="14"/>
  <c r="B653" i="14" s="1"/>
  <c r="A654" i="14"/>
  <c r="B654" i="14" s="1"/>
  <c r="A655" i="14"/>
  <c r="B655" i="14" s="1"/>
  <c r="A656" i="14"/>
  <c r="B656" i="14" s="1"/>
  <c r="A657" i="14"/>
  <c r="B657" i="14" s="1"/>
  <c r="A658" i="14"/>
  <c r="B658" i="14" s="1"/>
  <c r="A659" i="14"/>
  <c r="B659" i="14" s="1"/>
  <c r="A660" i="14"/>
  <c r="B660" i="14" s="1"/>
  <c r="A661" i="14"/>
  <c r="B661" i="14" s="1"/>
  <c r="A662" i="14"/>
  <c r="B662" i="14" s="1"/>
  <c r="A663" i="14"/>
  <c r="B663" i="14" s="1"/>
  <c r="A664" i="14"/>
  <c r="B664" i="14" s="1"/>
  <c r="A665" i="14"/>
  <c r="B665" i="14" s="1"/>
  <c r="A666" i="14"/>
  <c r="B666" i="14" s="1"/>
  <c r="A667" i="14"/>
  <c r="B667" i="14" s="1"/>
  <c r="A668" i="14"/>
  <c r="B668" i="14" s="1"/>
  <c r="A669" i="14"/>
  <c r="B669" i="14" s="1"/>
  <c r="A670" i="14"/>
  <c r="B670" i="14" s="1"/>
  <c r="A671" i="14"/>
  <c r="B671" i="14" s="1"/>
  <c r="A672" i="14"/>
  <c r="B672" i="14" s="1"/>
  <c r="A673" i="14"/>
  <c r="B673" i="14" s="1"/>
  <c r="A674" i="14"/>
  <c r="B674" i="14" s="1"/>
  <c r="A675" i="14"/>
  <c r="B675" i="14" s="1"/>
  <c r="A676" i="14"/>
  <c r="B676" i="14" s="1"/>
  <c r="A677" i="14"/>
  <c r="B677" i="14" s="1"/>
  <c r="A678" i="14"/>
  <c r="B678" i="14" s="1"/>
  <c r="A679" i="14"/>
  <c r="B679" i="14" s="1"/>
  <c r="A680" i="14"/>
  <c r="B680" i="14" s="1"/>
  <c r="A681" i="14"/>
  <c r="B681" i="14" s="1"/>
  <c r="A682" i="14"/>
  <c r="B682" i="14" s="1"/>
  <c r="A683" i="14"/>
  <c r="B683" i="14" s="1"/>
  <c r="A684" i="14"/>
  <c r="B684" i="14" s="1"/>
  <c r="A685" i="14"/>
  <c r="B685" i="14" s="1"/>
  <c r="A686" i="14"/>
  <c r="B686" i="14" s="1"/>
  <c r="A687" i="14"/>
  <c r="B687" i="14" s="1"/>
  <c r="A688" i="14"/>
  <c r="B688" i="14" s="1"/>
  <c r="A689" i="14"/>
  <c r="B689" i="14" s="1"/>
  <c r="A690" i="14"/>
  <c r="B690" i="14" s="1"/>
  <c r="A691" i="14"/>
  <c r="B691" i="14" s="1"/>
  <c r="A692" i="14"/>
  <c r="B692" i="14" s="1"/>
  <c r="A693" i="14"/>
  <c r="B693" i="14" s="1"/>
  <c r="A694" i="14"/>
  <c r="B694" i="14" s="1"/>
  <c r="A695" i="14"/>
  <c r="B695" i="14" s="1"/>
  <c r="A696" i="14"/>
  <c r="B696" i="14" s="1"/>
  <c r="A697" i="14"/>
  <c r="B697" i="14" s="1"/>
  <c r="A698" i="14"/>
  <c r="B698" i="14" s="1"/>
  <c r="A699" i="14"/>
  <c r="B699" i="14" s="1"/>
  <c r="A700" i="14"/>
  <c r="B700" i="14" s="1"/>
  <c r="A701" i="14"/>
  <c r="B701" i="14" s="1"/>
  <c r="A702" i="14"/>
  <c r="B702" i="14" s="1"/>
  <c r="A703" i="14"/>
  <c r="B703" i="14" s="1"/>
  <c r="A704" i="14"/>
  <c r="B704" i="14" s="1"/>
  <c r="A705" i="14"/>
  <c r="B705" i="14" s="1"/>
  <c r="A706" i="14"/>
  <c r="B706" i="14" s="1"/>
  <c r="A707" i="14"/>
  <c r="B707" i="14" s="1"/>
  <c r="A708" i="14"/>
  <c r="B708" i="14" s="1"/>
  <c r="A709" i="14"/>
  <c r="B709" i="14" s="1"/>
  <c r="A710" i="14"/>
  <c r="B710" i="14" s="1"/>
  <c r="A711" i="14"/>
  <c r="B711" i="14" s="1"/>
  <c r="A712" i="14"/>
  <c r="B712" i="14" s="1"/>
  <c r="A713" i="14"/>
  <c r="B713" i="14" s="1"/>
  <c r="A714" i="14"/>
  <c r="B714" i="14" s="1"/>
  <c r="A715" i="14"/>
  <c r="B715" i="14" s="1"/>
  <c r="A716" i="14"/>
  <c r="B716" i="14" s="1"/>
  <c r="A717" i="14"/>
  <c r="B717" i="14" s="1"/>
  <c r="A718" i="14"/>
  <c r="B718" i="14" s="1"/>
  <c r="A719" i="14"/>
  <c r="B719" i="14" s="1"/>
  <c r="A720" i="14"/>
  <c r="B720" i="14" s="1"/>
  <c r="A721" i="14"/>
  <c r="B721" i="14" s="1"/>
  <c r="A722" i="14"/>
  <c r="B722" i="14" s="1"/>
  <c r="A723" i="14"/>
  <c r="B723" i="14" s="1"/>
  <c r="A724" i="14"/>
  <c r="B724" i="14" s="1"/>
  <c r="A725" i="14"/>
  <c r="B725" i="14" s="1"/>
  <c r="A726" i="14"/>
  <c r="B726" i="14" s="1"/>
  <c r="A727" i="14"/>
  <c r="B727" i="14" s="1"/>
  <c r="A728" i="14"/>
  <c r="B728" i="14" s="1"/>
  <c r="A729" i="14"/>
  <c r="B729" i="14" s="1"/>
  <c r="A730" i="14"/>
  <c r="B730" i="14" s="1"/>
  <c r="A731" i="14"/>
  <c r="B731" i="14" s="1"/>
  <c r="A732" i="14"/>
  <c r="B732" i="14" s="1"/>
  <c r="A733" i="14"/>
  <c r="B733" i="14" s="1"/>
  <c r="A734" i="14"/>
  <c r="B734" i="14" s="1"/>
  <c r="A735" i="14"/>
  <c r="B735" i="14" s="1"/>
  <c r="A736" i="14"/>
  <c r="B736" i="14" s="1"/>
  <c r="A737" i="14"/>
  <c r="B737" i="14" s="1"/>
  <c r="A738" i="14"/>
  <c r="B738" i="14" s="1"/>
  <c r="A739" i="14"/>
  <c r="B739" i="14" s="1"/>
  <c r="A740" i="14"/>
  <c r="B740" i="14" s="1"/>
  <c r="A741" i="14"/>
  <c r="B741" i="14" s="1"/>
  <c r="A742" i="14"/>
  <c r="B742" i="14" s="1"/>
  <c r="A743" i="14"/>
  <c r="B743" i="14" s="1"/>
  <c r="A744" i="14"/>
  <c r="B744" i="14" s="1"/>
  <c r="A745" i="14"/>
  <c r="B745" i="14" s="1"/>
  <c r="A746" i="14"/>
  <c r="B746" i="14" s="1"/>
  <c r="A747" i="14"/>
  <c r="B747" i="14" s="1"/>
  <c r="A748" i="14"/>
  <c r="B748" i="14" s="1"/>
  <c r="A749" i="14"/>
  <c r="B749" i="14" s="1"/>
  <c r="A750" i="14"/>
  <c r="B750" i="14" s="1"/>
  <c r="A751" i="14"/>
  <c r="B751" i="14" s="1"/>
  <c r="A752" i="14"/>
  <c r="B752" i="14" s="1"/>
  <c r="A753" i="14"/>
  <c r="B753" i="14" s="1"/>
  <c r="A754" i="14"/>
  <c r="B754" i="14" s="1"/>
  <c r="A755" i="14"/>
  <c r="B755" i="14" s="1"/>
  <c r="A756" i="14"/>
  <c r="B756" i="14" s="1"/>
  <c r="A757" i="14"/>
  <c r="B757" i="14" s="1"/>
  <c r="A758" i="14"/>
  <c r="B758" i="14" s="1"/>
  <c r="A759" i="14"/>
  <c r="B759" i="14" s="1"/>
  <c r="A760" i="14"/>
  <c r="B760" i="14" s="1"/>
  <c r="A761" i="14"/>
  <c r="B761" i="14" s="1"/>
  <c r="A762" i="14"/>
  <c r="B762" i="14" s="1"/>
  <c r="A763" i="14"/>
  <c r="B763" i="14" s="1"/>
  <c r="A764" i="14"/>
  <c r="B764" i="14" s="1"/>
  <c r="A765" i="14"/>
  <c r="B765" i="14" s="1"/>
  <c r="A766" i="14"/>
  <c r="B766" i="14" s="1"/>
  <c r="A767" i="14"/>
  <c r="B767" i="14" s="1"/>
  <c r="A768" i="14"/>
  <c r="B768" i="14" s="1"/>
  <c r="A769" i="14"/>
  <c r="B769" i="14" s="1"/>
  <c r="A770" i="14"/>
  <c r="B770" i="14" s="1"/>
  <c r="A771" i="14"/>
  <c r="B771" i="14" s="1"/>
  <c r="A772" i="14"/>
  <c r="B772" i="14" s="1"/>
  <c r="A773" i="14"/>
  <c r="B773" i="14" s="1"/>
  <c r="A774" i="14"/>
  <c r="B774" i="14" s="1"/>
  <c r="A775" i="14"/>
  <c r="B775" i="14" s="1"/>
  <c r="A776" i="14"/>
  <c r="B776" i="14" s="1"/>
  <c r="A777" i="14"/>
  <c r="B777" i="14" s="1"/>
  <c r="A778" i="14"/>
  <c r="B778" i="14" s="1"/>
  <c r="A779" i="14"/>
  <c r="B779" i="14" s="1"/>
  <c r="A780" i="14"/>
  <c r="B780" i="14" s="1"/>
  <c r="A781" i="14"/>
  <c r="B781" i="14" s="1"/>
  <c r="A782" i="14"/>
  <c r="B782" i="14" s="1"/>
  <c r="A783" i="14"/>
  <c r="B783" i="14" s="1"/>
  <c r="A784" i="14"/>
  <c r="B784" i="14" s="1"/>
  <c r="A785" i="14"/>
  <c r="B785" i="14" s="1"/>
  <c r="A786" i="14"/>
  <c r="B786" i="14" s="1"/>
  <c r="A787" i="14"/>
  <c r="B787" i="14" s="1"/>
  <c r="A788" i="14"/>
  <c r="B788" i="14" s="1"/>
  <c r="A789" i="14"/>
  <c r="B789" i="14" s="1"/>
  <c r="A790" i="14"/>
  <c r="B790" i="14" s="1"/>
  <c r="A791" i="14"/>
  <c r="B791" i="14" s="1"/>
  <c r="A792" i="14"/>
  <c r="B792" i="14" s="1"/>
  <c r="A793" i="14"/>
  <c r="B793" i="14" s="1"/>
  <c r="A794" i="14"/>
  <c r="B794" i="14" s="1"/>
  <c r="A795" i="14"/>
  <c r="B795" i="14" s="1"/>
  <c r="A796" i="14"/>
  <c r="B796" i="14" s="1"/>
  <c r="A797" i="14"/>
  <c r="B797" i="14" s="1"/>
  <c r="A798" i="14"/>
  <c r="B798" i="14" s="1"/>
  <c r="A799" i="14"/>
  <c r="B799" i="14" s="1"/>
  <c r="A800" i="14"/>
  <c r="B800" i="14" s="1"/>
  <c r="A801" i="14"/>
  <c r="B801" i="14" s="1"/>
  <c r="A802" i="14"/>
  <c r="B802" i="14" s="1"/>
  <c r="A803" i="14"/>
  <c r="B803" i="14" s="1"/>
  <c r="A804" i="14"/>
  <c r="B804" i="14" s="1"/>
  <c r="A805" i="14"/>
  <c r="B805" i="14" s="1"/>
  <c r="A806" i="14"/>
  <c r="B806" i="14" s="1"/>
  <c r="A807" i="14"/>
  <c r="B807" i="14" s="1"/>
  <c r="A808" i="14"/>
  <c r="B808" i="14" s="1"/>
  <c r="A809" i="14"/>
  <c r="B809" i="14" s="1"/>
  <c r="A810" i="14"/>
  <c r="B810" i="14" s="1"/>
  <c r="A811" i="14"/>
  <c r="B811" i="14" s="1"/>
  <c r="A812" i="14"/>
  <c r="B812" i="14" s="1"/>
  <c r="A813" i="14"/>
  <c r="B813" i="14" s="1"/>
  <c r="A814" i="14"/>
  <c r="B814" i="14" s="1"/>
  <c r="A815" i="14"/>
  <c r="B815" i="14" s="1"/>
  <c r="A816" i="14"/>
  <c r="B816" i="14" s="1"/>
  <c r="A817" i="14"/>
  <c r="B817" i="14" s="1"/>
  <c r="A818" i="14"/>
  <c r="B818" i="14" s="1"/>
  <c r="A819" i="14"/>
  <c r="B819" i="14" s="1"/>
  <c r="A820" i="14"/>
  <c r="B820" i="14" s="1"/>
  <c r="A821" i="14"/>
  <c r="B821" i="14" s="1"/>
  <c r="A822" i="14"/>
  <c r="B822" i="14" s="1"/>
  <c r="A823" i="14"/>
  <c r="B823" i="14" s="1"/>
  <c r="A824" i="14"/>
  <c r="B824" i="14" s="1"/>
  <c r="A825" i="14"/>
  <c r="B825" i="14" s="1"/>
  <c r="A826" i="14"/>
  <c r="B826" i="14" s="1"/>
  <c r="A827" i="14"/>
  <c r="B827" i="14" s="1"/>
  <c r="A828" i="14"/>
  <c r="B828" i="14" s="1"/>
  <c r="A829" i="14"/>
  <c r="B829" i="14" s="1"/>
  <c r="A830" i="14"/>
  <c r="B830" i="14" s="1"/>
  <c r="A831" i="14"/>
  <c r="B831" i="14" s="1"/>
  <c r="A832" i="14"/>
  <c r="B832" i="14" s="1"/>
  <c r="A833" i="14"/>
  <c r="B833" i="14" s="1"/>
  <c r="A834" i="14"/>
  <c r="B834" i="14" s="1"/>
  <c r="A835" i="14"/>
  <c r="B835" i="14" s="1"/>
  <c r="A836" i="14"/>
  <c r="B836" i="14" s="1"/>
  <c r="A837" i="14"/>
  <c r="B837" i="14" s="1"/>
  <c r="A838" i="14"/>
  <c r="B838" i="14" s="1"/>
  <c r="A839" i="14"/>
  <c r="B839" i="14" s="1"/>
  <c r="A840" i="14"/>
  <c r="B840" i="14" s="1"/>
  <c r="A841" i="14"/>
  <c r="B841" i="14" s="1"/>
  <c r="A842" i="14"/>
  <c r="B842" i="14" s="1"/>
  <c r="A843" i="14"/>
  <c r="B843" i="14" s="1"/>
  <c r="A844" i="14"/>
  <c r="B844" i="14" s="1"/>
  <c r="A845" i="14"/>
  <c r="B845" i="14" s="1"/>
  <c r="A846" i="14"/>
  <c r="B846" i="14" s="1"/>
  <c r="A847" i="14"/>
  <c r="B847" i="14" s="1"/>
  <c r="A848" i="14"/>
  <c r="B848" i="14" s="1"/>
  <c r="A849" i="14"/>
  <c r="B849" i="14" s="1"/>
  <c r="A850" i="14"/>
  <c r="B850" i="14" s="1"/>
  <c r="A851" i="14"/>
  <c r="B851" i="14" s="1"/>
  <c r="A852" i="14"/>
  <c r="B852" i="14" s="1"/>
  <c r="A853" i="14"/>
  <c r="B853" i="14" s="1"/>
  <c r="A854" i="14"/>
  <c r="B854" i="14" s="1"/>
  <c r="A855" i="14"/>
  <c r="B855" i="14" s="1"/>
  <c r="A856" i="14"/>
  <c r="B856" i="14" s="1"/>
  <c r="A857" i="14"/>
  <c r="B857" i="14" s="1"/>
  <c r="A858" i="14"/>
  <c r="B858" i="14" s="1"/>
  <c r="A859" i="14"/>
  <c r="B859" i="14" s="1"/>
  <c r="A860" i="14"/>
  <c r="B860" i="14" s="1"/>
  <c r="A861" i="14"/>
  <c r="B861" i="14" s="1"/>
  <c r="A862" i="14"/>
  <c r="B862" i="14" s="1"/>
  <c r="A863" i="14"/>
  <c r="B863" i="14" s="1"/>
  <c r="A864" i="14"/>
  <c r="B864" i="14" s="1"/>
  <c r="A865" i="14"/>
  <c r="B865" i="14" s="1"/>
  <c r="A866" i="14"/>
  <c r="B866" i="14" s="1"/>
  <c r="A867" i="14"/>
  <c r="B867" i="14" s="1"/>
  <c r="A868" i="14"/>
  <c r="B868" i="14" s="1"/>
  <c r="A869" i="14"/>
  <c r="B869" i="14" s="1"/>
  <c r="A870" i="14"/>
  <c r="B870" i="14" s="1"/>
  <c r="A871" i="14"/>
  <c r="B871" i="14" s="1"/>
  <c r="A872" i="14"/>
  <c r="B872" i="14" s="1"/>
  <c r="A873" i="14"/>
  <c r="B873" i="14" s="1"/>
  <c r="A874" i="14"/>
  <c r="B874" i="14" s="1"/>
  <c r="A875" i="14"/>
  <c r="B875" i="14" s="1"/>
  <c r="A876" i="14"/>
  <c r="B876" i="14" s="1"/>
  <c r="A877" i="14"/>
  <c r="B877" i="14" s="1"/>
  <c r="A878" i="14"/>
  <c r="B878" i="14" s="1"/>
  <c r="A879" i="14"/>
  <c r="B879" i="14" s="1"/>
  <c r="A880" i="14"/>
  <c r="B880" i="14" s="1"/>
  <c r="A881" i="14"/>
  <c r="B881" i="14" s="1"/>
  <c r="A882" i="14"/>
  <c r="B882" i="14" s="1"/>
  <c r="A883" i="14"/>
  <c r="B883" i="14" s="1"/>
  <c r="A884" i="14"/>
  <c r="B884" i="14" s="1"/>
  <c r="A885" i="14"/>
  <c r="B885" i="14" s="1"/>
  <c r="A886" i="14"/>
  <c r="B886" i="14" s="1"/>
  <c r="A887" i="14"/>
  <c r="B887" i="14" s="1"/>
  <c r="A888" i="14"/>
  <c r="B888" i="14" s="1"/>
  <c r="A889" i="14"/>
  <c r="B889" i="14" s="1"/>
  <c r="A890" i="14"/>
  <c r="B890" i="14" s="1"/>
  <c r="A891" i="14"/>
  <c r="B891" i="14" s="1"/>
  <c r="A892" i="14"/>
  <c r="B892" i="14" s="1"/>
  <c r="A893" i="14"/>
  <c r="B893" i="14" s="1"/>
  <c r="A894" i="14"/>
  <c r="B894" i="14" s="1"/>
  <c r="A895" i="14"/>
  <c r="B895" i="14" s="1"/>
  <c r="A896" i="14"/>
  <c r="B896" i="14" s="1"/>
  <c r="A897" i="14"/>
  <c r="B897" i="14" s="1"/>
  <c r="A898" i="14"/>
  <c r="B898" i="14" s="1"/>
  <c r="A899" i="14"/>
  <c r="B899" i="14" s="1"/>
  <c r="A900" i="14"/>
  <c r="B900" i="14" s="1"/>
  <c r="A901" i="14"/>
  <c r="B901" i="14" s="1"/>
  <c r="A902" i="14"/>
  <c r="B902" i="14" s="1"/>
  <c r="A903" i="14"/>
  <c r="B903" i="14" s="1"/>
  <c r="A904" i="14"/>
  <c r="B904" i="14" s="1"/>
  <c r="A905" i="14"/>
  <c r="B905" i="14" s="1"/>
  <c r="A906" i="14"/>
  <c r="B906" i="14" s="1"/>
  <c r="A907" i="14"/>
  <c r="B907" i="14" s="1"/>
  <c r="A908" i="14"/>
  <c r="B908" i="14" s="1"/>
  <c r="A909" i="14"/>
  <c r="B909" i="14" s="1"/>
  <c r="A910" i="14"/>
  <c r="B910" i="14" s="1"/>
  <c r="A911" i="14"/>
  <c r="B911" i="14" s="1"/>
  <c r="A912" i="14"/>
  <c r="B912" i="14" s="1"/>
  <c r="A913" i="14"/>
  <c r="B913" i="14" s="1"/>
  <c r="A914" i="14"/>
  <c r="B914" i="14" s="1"/>
  <c r="A915" i="14"/>
  <c r="B915" i="14" s="1"/>
  <c r="A916" i="14"/>
  <c r="B916" i="14" s="1"/>
  <c r="A917" i="14"/>
  <c r="B917" i="14" s="1"/>
  <c r="A918" i="14"/>
  <c r="B918" i="14" s="1"/>
  <c r="A919" i="14"/>
  <c r="B919" i="14" s="1"/>
  <c r="A920" i="14"/>
  <c r="B920" i="14" s="1"/>
  <c r="A921" i="14"/>
  <c r="B921" i="14" s="1"/>
  <c r="A922" i="14"/>
  <c r="B922" i="14" s="1"/>
  <c r="A923" i="14"/>
  <c r="B923" i="14" s="1"/>
  <c r="A924" i="14"/>
  <c r="B924" i="14" s="1"/>
  <c r="A925" i="14"/>
  <c r="B925" i="14" s="1"/>
  <c r="A926" i="14"/>
  <c r="B926" i="14" s="1"/>
  <c r="A927" i="14"/>
  <c r="B927" i="14" s="1"/>
  <c r="A928" i="14"/>
  <c r="B928" i="14" s="1"/>
  <c r="A929" i="14"/>
  <c r="B929" i="14" s="1"/>
  <c r="A930" i="14"/>
  <c r="B930" i="14" s="1"/>
  <c r="A931" i="14"/>
  <c r="B931" i="14" s="1"/>
  <c r="A932" i="14"/>
  <c r="B932" i="14" s="1"/>
  <c r="A933" i="14"/>
  <c r="B933" i="14" s="1"/>
  <c r="A934" i="14"/>
  <c r="B934" i="14" s="1"/>
  <c r="A935" i="14"/>
  <c r="B935" i="14" s="1"/>
  <c r="A936" i="14"/>
  <c r="B936" i="14" s="1"/>
  <c r="A937" i="14"/>
  <c r="B937" i="14" s="1"/>
  <c r="A938" i="14"/>
  <c r="B938" i="14" s="1"/>
  <c r="A939" i="14"/>
  <c r="B939" i="14" s="1"/>
  <c r="A940" i="14"/>
  <c r="B940" i="14" s="1"/>
  <c r="A941" i="14"/>
  <c r="B941" i="14" s="1"/>
  <c r="A942" i="14"/>
  <c r="B942" i="14" s="1"/>
  <c r="A943" i="14"/>
  <c r="B943" i="14" s="1"/>
  <c r="A944" i="14"/>
  <c r="B944" i="14" s="1"/>
  <c r="A945" i="14"/>
  <c r="B945" i="14" s="1"/>
  <c r="A946" i="14"/>
  <c r="B946" i="14" s="1"/>
  <c r="A947" i="14"/>
  <c r="B947" i="14" s="1"/>
  <c r="A948" i="14"/>
  <c r="B948" i="14" s="1"/>
  <c r="A949" i="14"/>
  <c r="B949" i="14" s="1"/>
  <c r="A950" i="14"/>
  <c r="B950" i="14" s="1"/>
  <c r="A951" i="14"/>
  <c r="B951" i="14" s="1"/>
  <c r="A952" i="14"/>
  <c r="B952" i="14" s="1"/>
  <c r="A953" i="14"/>
  <c r="B953" i="14" s="1"/>
  <c r="A954" i="14"/>
  <c r="B954" i="14" s="1"/>
  <c r="A955" i="14"/>
  <c r="B955" i="14" s="1"/>
  <c r="A956" i="14"/>
  <c r="B956" i="14" s="1"/>
  <c r="A957" i="14"/>
  <c r="B957" i="14" s="1"/>
  <c r="A958" i="14"/>
  <c r="B958" i="14" s="1"/>
  <c r="A959" i="14"/>
  <c r="B959" i="14" s="1"/>
  <c r="A960" i="14"/>
  <c r="B960" i="14" s="1"/>
  <c r="A961" i="14"/>
  <c r="B961" i="14" s="1"/>
  <c r="A962" i="14"/>
  <c r="B962" i="14" s="1"/>
  <c r="A963" i="14"/>
  <c r="B963" i="14" s="1"/>
  <c r="A964" i="14"/>
  <c r="B964" i="14" s="1"/>
  <c r="A965" i="14"/>
  <c r="B965" i="14" s="1"/>
  <c r="A966" i="14"/>
  <c r="B966" i="14" s="1"/>
  <c r="A967" i="14"/>
  <c r="B967" i="14" s="1"/>
  <c r="A968" i="14"/>
  <c r="B968" i="14" s="1"/>
  <c r="A969" i="14"/>
  <c r="B969" i="14" s="1"/>
  <c r="A970" i="14"/>
  <c r="B970" i="14" s="1"/>
  <c r="A971" i="14"/>
  <c r="B971" i="14" s="1"/>
  <c r="A972" i="14"/>
  <c r="B972" i="14" s="1"/>
  <c r="A973" i="14"/>
  <c r="B973" i="14" s="1"/>
  <c r="A974" i="14"/>
  <c r="B974" i="14" s="1"/>
  <c r="A975" i="14"/>
  <c r="B975" i="14" s="1"/>
  <c r="A976" i="14"/>
  <c r="B976" i="14" s="1"/>
  <c r="A977" i="14"/>
  <c r="B977" i="14" s="1"/>
  <c r="A978" i="14"/>
  <c r="B978" i="14" s="1"/>
  <c r="A979" i="14"/>
  <c r="B979" i="14" s="1"/>
  <c r="A980" i="14"/>
  <c r="B980" i="14" s="1"/>
  <c r="A981" i="14"/>
  <c r="B981" i="14" s="1"/>
  <c r="A982" i="14"/>
  <c r="B982" i="14" s="1"/>
  <c r="A983" i="14"/>
  <c r="B983" i="14" s="1"/>
  <c r="A984" i="14"/>
  <c r="B984" i="14" s="1"/>
  <c r="A985" i="14"/>
  <c r="B985" i="14" s="1"/>
  <c r="A986" i="14"/>
  <c r="B986" i="14" s="1"/>
  <c r="A987" i="14"/>
  <c r="B987" i="14" s="1"/>
  <c r="A988" i="14"/>
  <c r="B988" i="14" s="1"/>
  <c r="A989" i="14"/>
  <c r="B989" i="14" s="1"/>
  <c r="A990" i="14"/>
  <c r="B990" i="14" s="1"/>
  <c r="A991" i="14"/>
  <c r="B991" i="14" s="1"/>
  <c r="A992" i="14"/>
  <c r="B992" i="14" s="1"/>
  <c r="A993" i="14"/>
  <c r="B993" i="14" s="1"/>
  <c r="A994" i="14"/>
  <c r="B994" i="14" s="1"/>
  <c r="A995" i="14"/>
  <c r="B995" i="14" s="1"/>
  <c r="A996" i="14"/>
  <c r="B996" i="14" s="1"/>
  <c r="A997" i="14"/>
  <c r="B997" i="14" s="1"/>
  <c r="A998" i="14"/>
  <c r="B998" i="14" s="1"/>
  <c r="A999" i="14"/>
  <c r="B999" i="14" s="1"/>
  <c r="A1000" i="14"/>
  <c r="B1000" i="14" s="1"/>
  <c r="A1001" i="14"/>
  <c r="B1001" i="14" s="1"/>
  <c r="A1002" i="14"/>
  <c r="B1002" i="14" s="1"/>
  <c r="A1003" i="14"/>
  <c r="B1003" i="14" s="1"/>
  <c r="A1004" i="14"/>
  <c r="B1004" i="14" s="1"/>
  <c r="A1005" i="14"/>
  <c r="B1005" i="14" s="1"/>
  <c r="A1006" i="14"/>
  <c r="B1006" i="14" s="1"/>
  <c r="A1007" i="14"/>
  <c r="B1007" i="14" s="1"/>
  <c r="A1008" i="14"/>
  <c r="B1008" i="14" s="1"/>
  <c r="A10" i="14"/>
  <c r="B10" i="14" s="1"/>
  <c r="D11" i="12"/>
  <c r="C47" i="12" l="1"/>
  <c r="D47" i="12" s="1"/>
  <c r="B17" i="12"/>
  <c r="C18" i="12"/>
  <c r="D18" i="12" s="1"/>
  <c r="B18" i="12" s="1"/>
  <c r="C19" i="12"/>
  <c r="D19" i="12" s="1"/>
  <c r="C20" i="12"/>
  <c r="D20" i="12" s="1"/>
  <c r="C21" i="12"/>
  <c r="D21" i="12" s="1"/>
  <c r="C22" i="12"/>
  <c r="D22" i="12" s="1"/>
  <c r="C23" i="12"/>
  <c r="D23" i="12" s="1"/>
  <c r="C24" i="12"/>
  <c r="D24" i="12" s="1"/>
  <c r="C25" i="12"/>
  <c r="D25" i="12" s="1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D33" i="12" s="1"/>
  <c r="C34" i="12"/>
  <c r="D34" i="12" s="1"/>
  <c r="C35" i="12"/>
  <c r="D35" i="12" s="1"/>
  <c r="C36" i="12"/>
  <c r="D36" i="12" s="1"/>
  <c r="C37" i="12"/>
  <c r="D37" i="12" s="1"/>
  <c r="C38" i="12"/>
  <c r="D38" i="12" s="1"/>
  <c r="C39" i="12"/>
  <c r="D39" i="12" s="1"/>
  <c r="C40" i="12"/>
  <c r="D40" i="12" s="1"/>
  <c r="C41" i="12"/>
  <c r="D41" i="12" s="1"/>
  <c r="C42" i="12"/>
  <c r="D42" i="12" s="1"/>
  <c r="C43" i="12"/>
  <c r="D43" i="12" s="1"/>
  <c r="C44" i="12"/>
  <c r="D44" i="12" s="1"/>
  <c r="C45" i="12"/>
  <c r="D45" i="12" s="1"/>
  <c r="C46" i="12"/>
  <c r="D46" i="12" s="1"/>
  <c r="H7" i="12"/>
  <c r="H5" i="12"/>
  <c r="H3" i="12"/>
  <c r="H1" i="12"/>
  <c r="A2" i="3"/>
  <c r="A3" i="3"/>
  <c r="A4" i="3"/>
  <c r="A5" i="3"/>
  <c r="A6" i="3"/>
  <c r="A7" i="3"/>
  <c r="A8" i="3"/>
  <c r="A9" i="3"/>
  <c r="A10" i="3"/>
  <c r="A1" i="3"/>
  <c r="C13" i="6"/>
  <c r="A23" i="8" a="1"/>
  <c r="A23" i="8" s="1"/>
  <c r="L5" i="8" s="1"/>
  <c r="M5" i="8"/>
  <c r="L3" i="8"/>
  <c r="I2" i="1"/>
  <c r="I3" i="1"/>
  <c r="I4" i="1"/>
  <c r="I5" i="1"/>
  <c r="I6" i="1"/>
  <c r="I7" i="1"/>
  <c r="I8" i="1"/>
  <c r="I9" i="1"/>
  <c r="I10" i="1"/>
  <c r="I1" i="1"/>
  <c r="J2" i="1"/>
  <c r="J3" i="1"/>
  <c r="J4" i="1"/>
  <c r="J5" i="1"/>
  <c r="J6" i="1"/>
  <c r="J7" i="1"/>
  <c r="J8" i="1"/>
  <c r="J9" i="1"/>
  <c r="J10" i="1"/>
  <c r="J1" i="1"/>
  <c r="E2" i="1"/>
  <c r="E3" i="1"/>
  <c r="E4" i="1"/>
  <c r="E5" i="1"/>
  <c r="E6" i="1"/>
  <c r="E7" i="1"/>
  <c r="E8" i="1"/>
  <c r="E9" i="1"/>
  <c r="E10" i="1"/>
  <c r="E1" i="1"/>
  <c r="C2" i="2"/>
  <c r="C10" i="6"/>
  <c r="B19" i="12" l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C16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<sst xmlns="http://schemas.openxmlformats.org/spreadsheetml/2006/main" count="1754" uniqueCount="1139">
  <si>
    <t>=rand()</t>
  </si>
  <si>
    <t>=randbetween(1,10)</t>
  </si>
  <si>
    <t>For random numbers between 1,100 with decimals</t>
  </si>
  <si>
    <t>use = rand() then multiply by 100</t>
  </si>
  <si>
    <t>Length</t>
  </si>
  <si>
    <t>Width</t>
  </si>
  <si>
    <t>Area</t>
  </si>
  <si>
    <t>End Sub</t>
  </si>
  <si>
    <t>Assumptions</t>
  </si>
  <si>
    <t>Beginning Balance</t>
  </si>
  <si>
    <t>Mean</t>
  </si>
  <si>
    <t>Portfolio Balance</t>
  </si>
  <si>
    <t xml:space="preserve">Random </t>
  </si>
  <si>
    <t>Normal</t>
  </si>
  <si>
    <t>Balance</t>
  </si>
  <si>
    <t xml:space="preserve">Standard </t>
  </si>
  <si>
    <t>Variable</t>
  </si>
  <si>
    <t>Return</t>
  </si>
  <si>
    <t>Number of Years</t>
  </si>
  <si>
    <t>Future Values</t>
  </si>
  <si>
    <t>Total</t>
  </si>
  <si>
    <t>(Lump Sum)</t>
  </si>
  <si>
    <r>
      <t>= PV e</t>
    </r>
    <r>
      <rPr>
        <vertAlign val="superscript"/>
        <sz val="14"/>
        <color rgb="FF000000"/>
        <rFont val="Calibri"/>
        <family val="2"/>
        <scheme val="minor"/>
      </rPr>
      <t>(R-.5var)*(T)</t>
    </r>
  </si>
  <si>
    <t>(Payments)</t>
  </si>
  <si>
    <t>Future Values with Continuous Compounding</t>
  </si>
  <si>
    <t>Current Balance</t>
  </si>
  <si>
    <t>Stdev</t>
  </si>
  <si>
    <t>=C4*((EXP((C5-C6^2/2)*C7))-1)/(EXP((C5-C6^2/2))-1)</t>
  </si>
  <si>
    <t>Annual Contribution</t>
  </si>
  <si>
    <t>Efficient Frontier</t>
  </si>
  <si>
    <t>AAPL</t>
  </si>
  <si>
    <t>HOG</t>
  </si>
  <si>
    <t>DIS</t>
  </si>
  <si>
    <t>WMT</t>
  </si>
  <si>
    <t>BBY</t>
  </si>
  <si>
    <t>AMZN</t>
  </si>
  <si>
    <t>YHOO</t>
  </si>
  <si>
    <t>WAG</t>
  </si>
  <si>
    <t>SNE</t>
  </si>
  <si>
    <t>MSFT</t>
  </si>
  <si>
    <t>E[Rp]</t>
  </si>
  <si>
    <t>Historical Return</t>
  </si>
  <si>
    <t>σp</t>
  </si>
  <si>
    <t>Total weights</t>
  </si>
  <si>
    <t>Weights</t>
  </si>
  <si>
    <t>(Σ)</t>
  </si>
  <si>
    <t>Variance/Covariance Matrix</t>
  </si>
  <si>
    <t>Target Portfolio Return</t>
  </si>
  <si>
    <t>Portfolio Variance</t>
  </si>
  <si>
    <t>Sample Portfolio Optimization Table -- (select target portfolio means)</t>
  </si>
  <si>
    <t>Use 'Paste Special' -&gt; 'Values' from the 'Solver' results</t>
  </si>
  <si>
    <t>Port Mean</t>
  </si>
  <si>
    <t>Port Sigma</t>
  </si>
  <si>
    <t>Sub Script()</t>
  </si>
  <si>
    <t>'Setting values to defaults</t>
  </si>
  <si>
    <t>Range("$A$21") = 0.05</t>
  </si>
  <si>
    <t>Range("$B$5:$K$5") = 0.1</t>
  </si>
  <si>
    <t>Range("$B$33:$L$93") = Clear</t>
  </si>
  <si>
    <t>'Loop starts here</t>
  </si>
  <si>
    <t>For x = 33 To 93</t>
  </si>
  <si>
    <t xml:space="preserve">    DoEvents</t>
  </si>
  <si>
    <t xml:space="preserve">    Range("$B$5:$K$5") = 0.1</t>
  </si>
  <si>
    <t xml:space="preserve">    SolverSolve UserFinish:=True</t>
  </si>
  <si>
    <t xml:space="preserve">    SolverFinish KeepFinal:=1</t>
  </si>
  <si>
    <t xml:space="preserve">    'Adding 0.25% step</t>
  </si>
  <si>
    <t xml:space="preserve">    Range("$A$21").Select</t>
  </si>
  <si>
    <t xml:space="preserve">    ActiveCell.Value = ActiveCell.Value + 0.0025</t>
  </si>
  <si>
    <t xml:space="preserve">    Range("$B$5:$L$5").Select</t>
  </si>
  <si>
    <t xml:space="preserve">    Selection.Copy</t>
  </si>
  <si>
    <t xml:space="preserve">    Cells(x, 2).Select</t>
  </si>
  <si>
    <t xml:space="preserve">    Selection.PasteSpecial Paste:=xlValues, Operation:=xlNone</t>
  </si>
  <si>
    <t>Next x</t>
  </si>
  <si>
    <t>MsgBox "Done!"</t>
  </si>
  <si>
    <t>Inputs</t>
  </si>
  <si>
    <t>Stock Price</t>
  </si>
  <si>
    <t>Annual Stdev</t>
  </si>
  <si>
    <t>Spin Buttons</t>
  </si>
  <si>
    <t>XL</t>
  </si>
  <si>
    <t>Calculator</t>
  </si>
  <si>
    <t xml:space="preserve">Arithmetic </t>
  </si>
  <si>
    <t>= PVe(RT)</t>
  </si>
  <si>
    <t>Number of Yrs</t>
  </si>
  <si>
    <t>Geometric</t>
  </si>
  <si>
    <t>= PV e(R-.5var)*(T)</t>
  </si>
  <si>
    <t>Monte Carlo</t>
  </si>
  <si>
    <t>Year</t>
  </si>
  <si>
    <t>Monte Carlo Simulation</t>
  </si>
  <si>
    <t>1000  - '30 Year' Simulations</t>
  </si>
  <si>
    <t>Sub MonteCarlo()</t>
  </si>
  <si>
    <t xml:space="preserve">        </t>
  </si>
  <si>
    <t xml:space="preserve">    </t>
  </si>
  <si>
    <t xml:space="preserve">    Next x</t>
  </si>
  <si>
    <t xml:space="preserve">    [a1].Select</t>
  </si>
  <si>
    <t xml:space="preserve">     </t>
  </si>
  <si>
    <t xml:space="preserve">    For x = 18 To 1017</t>
  </si>
  <si>
    <t>Use the For/Next Loop in VBA</t>
  </si>
  <si>
    <t>Put the value in cell A1</t>
  </si>
  <si>
    <t>into cells D5-D16 using a loop in VBA</t>
  </si>
  <si>
    <t>Sub PracticeLoop ()</t>
  </si>
  <si>
    <t>For x = 6 to 15</t>
  </si>
  <si>
    <t>cells (x,4) = [A1]</t>
  </si>
  <si>
    <t>Std Deviation</t>
  </si>
  <si>
    <t>Z-Scores</t>
  </si>
  <si>
    <t>Returns</t>
  </si>
  <si>
    <t>Convert the Z-scores to returns:</t>
  </si>
  <si>
    <t xml:space="preserve"> return = mean +  Z-score*standard deviation</t>
  </si>
  <si>
    <t xml:space="preserve">Create a normal distribution using =normsinv(rand()) to generate 1000 Z-Scores </t>
  </si>
  <si>
    <t>* copy down to row 1009</t>
  </si>
  <si>
    <t>Highlight the future values</t>
  </si>
  <si>
    <t>Select "Insert" then from the Charts choose</t>
  </si>
  <si>
    <t>"Statistcal" then "Histogram"</t>
  </si>
  <si>
    <t xml:space="preserve">    Cells(x, 11) = [b47].Value</t>
  </si>
  <si>
    <t>GS</t>
  </si>
  <si>
    <t>GOOG</t>
  </si>
  <si>
    <t>HD</t>
  </si>
  <si>
    <r>
      <t>E[R</t>
    </r>
    <r>
      <rPr>
        <vertAlign val="subscript"/>
        <sz val="10"/>
        <color indexed="10"/>
        <rFont val="Times New Roman"/>
        <family val="1"/>
      </rPr>
      <t>p</t>
    </r>
    <r>
      <rPr>
        <sz val="10"/>
        <color indexed="10"/>
        <rFont val="Times New Roman"/>
        <family val="1"/>
      </rPr>
      <t>]</t>
    </r>
  </si>
  <si>
    <t>Your Portfolio</t>
  </si>
  <si>
    <t>E[Ri]</t>
  </si>
  <si>
    <r>
      <t>σ</t>
    </r>
    <r>
      <rPr>
        <vertAlign val="subscript"/>
        <sz val="11"/>
        <color indexed="10"/>
        <rFont val="Times New Roman"/>
        <family val="1"/>
      </rPr>
      <t>p</t>
    </r>
  </si>
  <si>
    <r>
      <t>σ</t>
    </r>
    <r>
      <rPr>
        <vertAlign val="subscript"/>
        <sz val="8"/>
        <rFont val="Times New Roman"/>
        <family val="1"/>
      </rPr>
      <t>i</t>
    </r>
  </si>
  <si>
    <t>AGG Min/Max</t>
  </si>
  <si>
    <t>Max</t>
  </si>
  <si>
    <t>Min</t>
  </si>
  <si>
    <t>Max Sharpe</t>
  </si>
  <si>
    <t>Rf</t>
  </si>
  <si>
    <t>Budget</t>
  </si>
  <si>
    <t>Actual</t>
  </si>
  <si>
    <t>Status</t>
  </si>
  <si>
    <t>Amount Over</t>
  </si>
  <si>
    <t>Ticker</t>
  </si>
  <si>
    <t>Name</t>
  </si>
  <si>
    <t>Sector</t>
  </si>
  <si>
    <t>A</t>
  </si>
  <si>
    <t>Agilent Technologies Inc.</t>
  </si>
  <si>
    <t>Technology</t>
  </si>
  <si>
    <t>AA</t>
  </si>
  <si>
    <t>Alcoa Inc.</t>
  </si>
  <si>
    <t>Basic Materials</t>
  </si>
  <si>
    <t>Apple Inc.</t>
  </si>
  <si>
    <t>ABC</t>
  </si>
  <si>
    <t>AmerisourceBergen Corp.</t>
  </si>
  <si>
    <t>Healthcare</t>
  </si>
  <si>
    <t>ABI</t>
  </si>
  <si>
    <t>Applied Biosystems Inc.</t>
  </si>
  <si>
    <t>ABK</t>
  </si>
  <si>
    <t>Ambac Financial Group, Inc.</t>
  </si>
  <si>
    <t>Financial</t>
  </si>
  <si>
    <t>Part 1 - Return a Single Data Point</t>
  </si>
  <si>
    <t>ABT</t>
  </si>
  <si>
    <t>Abbott Laboratories</t>
  </si>
  <si>
    <t>Portfolio</t>
  </si>
  <si>
    <t>Firm Name</t>
  </si>
  <si>
    <t>ACE</t>
  </si>
  <si>
    <t>ACE Limited</t>
  </si>
  <si>
    <t>ACS</t>
  </si>
  <si>
    <t>Affiliated Computer Services,</t>
  </si>
  <si>
    <t>MCD</t>
  </si>
  <si>
    <t>ADBE</t>
  </si>
  <si>
    <t>Adobe Systems Incorporated</t>
  </si>
  <si>
    <t>JNJ</t>
  </si>
  <si>
    <t>ADCT</t>
  </si>
  <si>
    <t>ADC Telecommunications</t>
  </si>
  <si>
    <t>IBM</t>
  </si>
  <si>
    <t>ADI</t>
  </si>
  <si>
    <t>Analog Devices, Inc.</t>
  </si>
  <si>
    <t>ADM</t>
  </si>
  <si>
    <t>Archer Daniels Midland Compan</t>
  </si>
  <si>
    <t>Consumer/Non-Cyclical</t>
  </si>
  <si>
    <t>KO</t>
  </si>
  <si>
    <t>ADP</t>
  </si>
  <si>
    <t>Automatic Data Processing</t>
  </si>
  <si>
    <t>Services</t>
  </si>
  <si>
    <t>ADSK</t>
  </si>
  <si>
    <t>Autodesk, Inc.</t>
  </si>
  <si>
    <t>GM</t>
  </si>
  <si>
    <t>AEE</t>
  </si>
  <si>
    <t>Ameren Corporation</t>
  </si>
  <si>
    <t>Utilities</t>
  </si>
  <si>
    <t>AEP</t>
  </si>
  <si>
    <t>American Electric Power Compa</t>
  </si>
  <si>
    <t xml:space="preserve">AA </t>
  </si>
  <si>
    <t>AES</t>
  </si>
  <si>
    <t>The AES Corporation</t>
  </si>
  <si>
    <t>CAT</t>
  </si>
  <si>
    <t>AET</t>
  </si>
  <si>
    <t>Aetna Inc.</t>
  </si>
  <si>
    <t>T</t>
  </si>
  <si>
    <t>AFL</t>
  </si>
  <si>
    <t>AFLAC Incorporated</t>
  </si>
  <si>
    <t>BA</t>
  </si>
  <si>
    <t>AGN</t>
  </si>
  <si>
    <t>Allergan, Inc.</t>
  </si>
  <si>
    <t>AIG</t>
  </si>
  <si>
    <t>American International Group,</t>
  </si>
  <si>
    <t>PG</t>
  </si>
  <si>
    <t>AIV</t>
  </si>
  <si>
    <t>Apartment Investment and Mana</t>
  </si>
  <si>
    <t>ALL</t>
  </si>
  <si>
    <t>The Allstate Corporation</t>
  </si>
  <si>
    <t>ALTR</t>
  </si>
  <si>
    <t>Altera Corporation</t>
  </si>
  <si>
    <t>AMAT</t>
  </si>
  <si>
    <t>Applied Materials, Inc.</t>
  </si>
  <si>
    <t>Part 2 - Return Multiple Data Points</t>
  </si>
  <si>
    <t>AMD</t>
  </si>
  <si>
    <t>Advanced Micro Devices, Inc.</t>
  </si>
  <si>
    <t>AMGN</t>
  </si>
  <si>
    <t>Amgen, Inc.</t>
  </si>
  <si>
    <t>AMP</t>
  </si>
  <si>
    <t>Ameriprise Financial, Inc.</t>
  </si>
  <si>
    <t>Amazon.com, Inc.</t>
  </si>
  <si>
    <t>AN</t>
  </si>
  <si>
    <t>AutoNation, Inc.</t>
  </si>
  <si>
    <t>AON</t>
  </si>
  <si>
    <t>Aon Corporation</t>
  </si>
  <si>
    <t>APA</t>
  </si>
  <si>
    <t>Apache Corporation</t>
  </si>
  <si>
    <t>Energy</t>
  </si>
  <si>
    <t>APC</t>
  </si>
  <si>
    <t>Anadarko Petroleum Corporatio</t>
  </si>
  <si>
    <t>APCC</t>
  </si>
  <si>
    <t>American Power Conversion Cor</t>
  </si>
  <si>
    <t>APD</t>
  </si>
  <si>
    <t>Air Products &amp; Chemicals, Inc</t>
  </si>
  <si>
    <t>APOL</t>
  </si>
  <si>
    <t>Apollo Group, Inc.</t>
  </si>
  <si>
    <t>ASH</t>
  </si>
  <si>
    <t>Ashland Inc.</t>
  </si>
  <si>
    <t>ASN</t>
  </si>
  <si>
    <t>Archstone-Smith Trust</t>
  </si>
  <si>
    <t>AT</t>
  </si>
  <si>
    <t>Alltel Corporation</t>
  </si>
  <si>
    <t>ATI</t>
  </si>
  <si>
    <t>Allegheny Technologies Incorp</t>
  </si>
  <si>
    <t>AV</t>
  </si>
  <si>
    <t>Avaya Inc.</t>
  </si>
  <si>
    <t>AVP</t>
  </si>
  <si>
    <t>Avon Products, Inc.</t>
  </si>
  <si>
    <t>AVY</t>
  </si>
  <si>
    <t>Avery Dennison Corporation</t>
  </si>
  <si>
    <t>AW</t>
  </si>
  <si>
    <t>Allied Waste Industries, Inc.</t>
  </si>
  <si>
    <t>AXP</t>
  </si>
  <si>
    <t>American Express Company</t>
  </si>
  <si>
    <t>AYE</t>
  </si>
  <si>
    <t>Allegheny Energy, Inc.</t>
  </si>
  <si>
    <t>AZO</t>
  </si>
  <si>
    <t>AutoZone, Inc.</t>
  </si>
  <si>
    <t>The Boeing Company</t>
  </si>
  <si>
    <t>Capital Goods</t>
  </si>
  <si>
    <t>BAC</t>
  </si>
  <si>
    <t>Bank of America Corporation</t>
  </si>
  <si>
    <t>BAX</t>
  </si>
  <si>
    <t>Baxter International Inc.</t>
  </si>
  <si>
    <t>BBBY</t>
  </si>
  <si>
    <t>Bed Bath &amp; Beyond Inc.</t>
  </si>
  <si>
    <t>BBT</t>
  </si>
  <si>
    <t>BB&amp;T Corporation</t>
  </si>
  <si>
    <t>Best Buy Co., Inc.</t>
  </si>
  <si>
    <t>BC</t>
  </si>
  <si>
    <t>Brunswick Corporation</t>
  </si>
  <si>
    <t>Consumer Cyclical</t>
  </si>
  <si>
    <t>BCR</t>
  </si>
  <si>
    <t>C.R. Bard, Inc.</t>
  </si>
  <si>
    <t>BDK</t>
  </si>
  <si>
    <t>The Black &amp; Decker Corporatio</t>
  </si>
  <si>
    <t>BDX</t>
  </si>
  <si>
    <t>Becton, Dickinson and Co.</t>
  </si>
  <si>
    <t>BEN</t>
  </si>
  <si>
    <t>Franklin Resources, Inc.</t>
  </si>
  <si>
    <t>BF.B</t>
  </si>
  <si>
    <t>Brown-Forman Corporation</t>
  </si>
  <si>
    <t>BHI</t>
  </si>
  <si>
    <t>Baker Hughes Incorporated</t>
  </si>
  <si>
    <t>BIG</t>
  </si>
  <si>
    <t>Big Lots, Inc.</t>
  </si>
  <si>
    <t>BIIB</t>
  </si>
  <si>
    <t>Biogen Idec Inc.</t>
  </si>
  <si>
    <t>BJS</t>
  </si>
  <si>
    <t>BJ Services Company</t>
  </si>
  <si>
    <t>BK</t>
  </si>
  <si>
    <t>The Bank of New York Mellon C</t>
  </si>
  <si>
    <t>BLL</t>
  </si>
  <si>
    <t>Ball Corporation</t>
  </si>
  <si>
    <t>BLS</t>
  </si>
  <si>
    <t>BellSouth Corporation</t>
  </si>
  <si>
    <t>BMC</t>
  </si>
  <si>
    <t>BMC Software, Inc.</t>
  </si>
  <si>
    <t>BMET</t>
  </si>
  <si>
    <t>Biomet, Inc.</t>
  </si>
  <si>
    <t>BMS</t>
  </si>
  <si>
    <t>Bemis Company, Inc.</t>
  </si>
  <si>
    <t>BMY</t>
  </si>
  <si>
    <t>Bristol Myers Squibb Co.</t>
  </si>
  <si>
    <t>BNI</t>
  </si>
  <si>
    <t xml:space="preserve">Burlington Northern Santa Fe </t>
  </si>
  <si>
    <t>Transportation</t>
  </si>
  <si>
    <t>BOL</t>
  </si>
  <si>
    <t>Bausch &amp; Lomb Inc.</t>
  </si>
  <si>
    <t>BRCM</t>
  </si>
  <si>
    <t>Broadcom Corporation</t>
  </si>
  <si>
    <t>BRL</t>
  </si>
  <si>
    <t>Barr Pharmaceuticals, Inc.</t>
  </si>
  <si>
    <t>BSC</t>
  </si>
  <si>
    <t>The Bear Stearns Companies In</t>
  </si>
  <si>
    <t>BSX</t>
  </si>
  <si>
    <t>Boston Scientific Corporation</t>
  </si>
  <si>
    <t>BTU</t>
  </si>
  <si>
    <t>Peabody Energy Corporation</t>
  </si>
  <si>
    <t>BUD</t>
  </si>
  <si>
    <t>Anheuser-Busch Companies, Inc</t>
  </si>
  <si>
    <t>BXP</t>
  </si>
  <si>
    <t>Boston Properties, Inc.</t>
  </si>
  <si>
    <t>C</t>
  </si>
  <si>
    <t>Citigroup Inc.</t>
  </si>
  <si>
    <t>CA</t>
  </si>
  <si>
    <t>CA, Inc.</t>
  </si>
  <si>
    <t>CAG</t>
  </si>
  <si>
    <t>ConAgra Foods, Inc.</t>
  </si>
  <si>
    <t>CAH</t>
  </si>
  <si>
    <t>Cardinal Health, Inc.</t>
  </si>
  <si>
    <t>Caterpillar Inc.</t>
  </si>
  <si>
    <t>CB</t>
  </si>
  <si>
    <t>The Chubb Corporation</t>
  </si>
  <si>
    <t>CBE</t>
  </si>
  <si>
    <t>Cooper Industries plc</t>
  </si>
  <si>
    <t>CBG</t>
  </si>
  <si>
    <t>CB Richard Ellis Group, Inc.</t>
  </si>
  <si>
    <t>CBH</t>
  </si>
  <si>
    <t>Commerce Bancorp, Inc.</t>
  </si>
  <si>
    <t>CBS</t>
  </si>
  <si>
    <t>CBS Corporation</t>
  </si>
  <si>
    <t>CBSS</t>
  </si>
  <si>
    <t>Compass Bancshares, Inc.</t>
  </si>
  <si>
    <t>CCE</t>
  </si>
  <si>
    <t>Coca-Cola Enterprises Inc.</t>
  </si>
  <si>
    <t>CCL</t>
  </si>
  <si>
    <t>Carnival Corporation</t>
  </si>
  <si>
    <t>CCTYQ</t>
  </si>
  <si>
    <t>Circuit City Stores, Inc.</t>
  </si>
  <si>
    <t>CCU</t>
  </si>
  <si>
    <t>Clear Channel Communications,</t>
  </si>
  <si>
    <t>CEG</t>
  </si>
  <si>
    <t>Constellation Energy Group, I</t>
  </si>
  <si>
    <t>CELG</t>
  </si>
  <si>
    <t>Celgene Corporation</t>
  </si>
  <si>
    <t>CFC</t>
  </si>
  <si>
    <t>Countrywide Financial Corpora</t>
  </si>
  <si>
    <t>CHK</t>
  </si>
  <si>
    <t>Chesapeake Energy Corporation</t>
  </si>
  <si>
    <t>CI</t>
  </si>
  <si>
    <t>CIGNA Corporation</t>
  </si>
  <si>
    <t>CIEN</t>
  </si>
  <si>
    <t>Ciena Corporation</t>
  </si>
  <si>
    <t>CINF</t>
  </si>
  <si>
    <t>Cincinnati Financial Corporat</t>
  </si>
  <si>
    <t>CIT</t>
  </si>
  <si>
    <t>CIT Group Inc.</t>
  </si>
  <si>
    <t>CL</t>
  </si>
  <si>
    <t>Colgate-Palmolive Company</t>
  </si>
  <si>
    <t>CLX</t>
  </si>
  <si>
    <t>The Clorox Company</t>
  </si>
  <si>
    <t>CMA</t>
  </si>
  <si>
    <t>Comerica Incorporated</t>
  </si>
  <si>
    <t>CMCSA</t>
  </si>
  <si>
    <t>Comcast Corporation</t>
  </si>
  <si>
    <t>CME</t>
  </si>
  <si>
    <t>CME Group Inc.</t>
  </si>
  <si>
    <t>CMI</t>
  </si>
  <si>
    <t>Cummins Inc.</t>
  </si>
  <si>
    <t>CMS</t>
  </si>
  <si>
    <t>CMS Energy Corporation</t>
  </si>
  <si>
    <t>CMVT</t>
  </si>
  <si>
    <t>Comverse Technology, Inc.</t>
  </si>
  <si>
    <t>CMX</t>
  </si>
  <si>
    <t>Caremark Rx, Inc.</t>
  </si>
  <si>
    <t>CNP</t>
  </si>
  <si>
    <t>CenterPoint Energy, Inc.</t>
  </si>
  <si>
    <t>CNX</t>
  </si>
  <si>
    <t>CONSOL Energy Inc.</t>
  </si>
  <si>
    <t>COF</t>
  </si>
  <si>
    <t>Capital One Financial Corp.</t>
  </si>
  <si>
    <t>COH</t>
  </si>
  <si>
    <t>Coach, Inc.</t>
  </si>
  <si>
    <t>COL</t>
  </si>
  <si>
    <t>Rockwell Collins, Inc.</t>
  </si>
  <si>
    <t>COP</t>
  </si>
  <si>
    <t>ConocoPhillips</t>
  </si>
  <si>
    <t>COST</t>
  </si>
  <si>
    <t>Costco Wholesale Corporation</t>
  </si>
  <si>
    <t>CPB</t>
  </si>
  <si>
    <t>Campbell Soup Company</t>
  </si>
  <si>
    <t>CPWR</t>
  </si>
  <si>
    <t>Compuware Corporation</t>
  </si>
  <si>
    <t>CSC</t>
  </si>
  <si>
    <t>Computer Sciences Corporation</t>
  </si>
  <si>
    <t>CSCO</t>
  </si>
  <si>
    <t>Cisco Systems, Inc.</t>
  </si>
  <si>
    <t>CSX</t>
  </si>
  <si>
    <t>CSX Corporation</t>
  </si>
  <si>
    <t>CTAS</t>
  </si>
  <si>
    <t>Cintas Corporation</t>
  </si>
  <si>
    <t>CTL</t>
  </si>
  <si>
    <t>CenturyTel, Inc.</t>
  </si>
  <si>
    <t>CTSH</t>
  </si>
  <si>
    <t>Cognizant Technology Solution</t>
  </si>
  <si>
    <t>CTX</t>
  </si>
  <si>
    <t>Centex Corporation</t>
  </si>
  <si>
    <t>CTXS</t>
  </si>
  <si>
    <t>Citrix Systems, Inc.</t>
  </si>
  <si>
    <t>CVG</t>
  </si>
  <si>
    <t>Convergys Corporation</t>
  </si>
  <si>
    <t>CVH</t>
  </si>
  <si>
    <t>Coventry Health Care, Inc.</t>
  </si>
  <si>
    <t>CVS</t>
  </si>
  <si>
    <t>CVS Caremark Corporation</t>
  </si>
  <si>
    <t>CVX</t>
  </si>
  <si>
    <t>Chevron Corporation</t>
  </si>
  <si>
    <t>D</t>
  </si>
  <si>
    <t>Dominion Resources, Inc.</t>
  </si>
  <si>
    <t>DD</t>
  </si>
  <si>
    <t>E.I. du Pont de Nemours &amp; Com</t>
  </si>
  <si>
    <t>DDS</t>
  </si>
  <si>
    <t>Dillard's, Inc.</t>
  </si>
  <si>
    <t>DE</t>
  </si>
  <si>
    <t>Deere &amp; Company</t>
  </si>
  <si>
    <t>DELL</t>
  </si>
  <si>
    <t>Dell Inc.</t>
  </si>
  <si>
    <t>DF</t>
  </si>
  <si>
    <t>Dean Foods Company</t>
  </si>
  <si>
    <t>DG</t>
  </si>
  <si>
    <t>Dollar General Corp.</t>
  </si>
  <si>
    <t>DGX</t>
  </si>
  <si>
    <t>Quest Diagnostics Incorporate</t>
  </si>
  <si>
    <t>DHI</t>
  </si>
  <si>
    <t>D.R. Horton, Inc.</t>
  </si>
  <si>
    <t>DHR</t>
  </si>
  <si>
    <t>Danaher Corporation</t>
  </si>
  <si>
    <t>The Walt Disney Company</t>
  </si>
  <si>
    <t>DJ</t>
  </si>
  <si>
    <t>Dow Jones &amp; Company, Inc.</t>
  </si>
  <si>
    <t>DOV</t>
  </si>
  <si>
    <t>Dover Corporation</t>
  </si>
  <si>
    <t>DOW</t>
  </si>
  <si>
    <t>The Dow Chemical Company</t>
  </si>
  <si>
    <t>DRI</t>
  </si>
  <si>
    <t>Darden Restaurants, Inc.</t>
  </si>
  <si>
    <t>DTE</t>
  </si>
  <si>
    <t>DTE Energy Company</t>
  </si>
  <si>
    <t>DTV</t>
  </si>
  <si>
    <t>DIRECTV</t>
  </si>
  <si>
    <t>DUK</t>
  </si>
  <si>
    <t>Duke Energy Corporation</t>
  </si>
  <si>
    <t>DVN</t>
  </si>
  <si>
    <t>Devon Energy Corporation</t>
  </si>
  <si>
    <t>DYN</t>
  </si>
  <si>
    <t>Dynegy Inc.</t>
  </si>
  <si>
    <t>EBAY</t>
  </si>
  <si>
    <t>eBay Inc.</t>
  </si>
  <si>
    <t>ECL</t>
  </si>
  <si>
    <t>Ecolab Inc.</t>
  </si>
  <si>
    <t>ED</t>
  </si>
  <si>
    <t>Consolidated Edison, Inc.</t>
  </si>
  <si>
    <t>EDS</t>
  </si>
  <si>
    <t>Electronic Data Systems Corpo</t>
  </si>
  <si>
    <t>EFX</t>
  </si>
  <si>
    <t>Equifax Inc.</t>
  </si>
  <si>
    <t>EIX</t>
  </si>
  <si>
    <t>Edison International</t>
  </si>
  <si>
    <t>EK</t>
  </si>
  <si>
    <t>Eastman Kodak Company</t>
  </si>
  <si>
    <t>EL</t>
  </si>
  <si>
    <t>The Estee Lauder Companies In</t>
  </si>
  <si>
    <t>EMC</t>
  </si>
  <si>
    <t>EMC Corporation</t>
  </si>
  <si>
    <t>EMN</t>
  </si>
  <si>
    <t>Eastman Chemical Company</t>
  </si>
  <si>
    <t>EMR</t>
  </si>
  <si>
    <t>Emerson Electric Co.</t>
  </si>
  <si>
    <t>EOG</t>
  </si>
  <si>
    <t>EOG Resources, Inc.</t>
  </si>
  <si>
    <t>EOP</t>
  </si>
  <si>
    <t>Equity Office Properties Trus</t>
  </si>
  <si>
    <t>EP</t>
  </si>
  <si>
    <t>El Paso Corporation</t>
  </si>
  <si>
    <t>EQ</t>
  </si>
  <si>
    <t>Embarq Corporation</t>
  </si>
  <si>
    <t>EQR</t>
  </si>
  <si>
    <t>Equity Residential</t>
  </si>
  <si>
    <t>ERTS</t>
  </si>
  <si>
    <t>Electronic Arts Inc.</t>
  </si>
  <si>
    <t>ESRX</t>
  </si>
  <si>
    <t>Express Scripts, Inc.</t>
  </si>
  <si>
    <t>ETFC</t>
  </si>
  <si>
    <t>E TRADE Financial Corporation</t>
  </si>
  <si>
    <t>ETN</t>
  </si>
  <si>
    <t>Eaton Corporation</t>
  </si>
  <si>
    <t>ETR</t>
  </si>
  <si>
    <t>Entergy Corporation</t>
  </si>
  <si>
    <t>EXC</t>
  </si>
  <si>
    <t>Exelon Corporation</t>
  </si>
  <si>
    <t>F</t>
  </si>
  <si>
    <t>Ford Motor Company</t>
  </si>
  <si>
    <t>FCX</t>
  </si>
  <si>
    <t>Freeport-McMoRan Copper &amp; Gol</t>
  </si>
  <si>
    <t>FDC</t>
  </si>
  <si>
    <t>First Data Corporation</t>
  </si>
  <si>
    <t>FDO</t>
  </si>
  <si>
    <t>Family Dollar Stores, Inc.</t>
  </si>
  <si>
    <t>FDX</t>
  </si>
  <si>
    <t>FedEx Corporation</t>
  </si>
  <si>
    <t>FE</t>
  </si>
  <si>
    <t>FirstEnergy Corp.</t>
  </si>
  <si>
    <t>FHN</t>
  </si>
  <si>
    <t>First Horizon National Corpor</t>
  </si>
  <si>
    <t>FII</t>
  </si>
  <si>
    <t>Federated Investors, Inc.</t>
  </si>
  <si>
    <t>FIS</t>
  </si>
  <si>
    <t>Fidelity National Information</t>
  </si>
  <si>
    <t>FISV</t>
  </si>
  <si>
    <t>Fiserv, Inc.</t>
  </si>
  <si>
    <t>FITB</t>
  </si>
  <si>
    <t>Fifth Third Bancorp</t>
  </si>
  <si>
    <t>FLR</t>
  </si>
  <si>
    <t>Fluor Corporation (NEW)</t>
  </si>
  <si>
    <t>FNM</t>
  </si>
  <si>
    <t>Fannie Mae</t>
  </si>
  <si>
    <t>FO</t>
  </si>
  <si>
    <t>Fortune Brands, Inc.</t>
  </si>
  <si>
    <t>FPL</t>
  </si>
  <si>
    <t>FPL Group, Inc.</t>
  </si>
  <si>
    <t>FRE</t>
  </si>
  <si>
    <t>Freddie Mac</t>
  </si>
  <si>
    <t>FRX</t>
  </si>
  <si>
    <t>Forest Laboratories, Inc.</t>
  </si>
  <si>
    <t>FTR</t>
  </si>
  <si>
    <t>Frontier Communications Corp</t>
  </si>
  <si>
    <t>GAS</t>
  </si>
  <si>
    <t>Nicor Inc.</t>
  </si>
  <si>
    <t>GCI</t>
  </si>
  <si>
    <t>Gannett Co., Inc.</t>
  </si>
  <si>
    <t>GD</t>
  </si>
  <si>
    <t>General Dynamics Corporation</t>
  </si>
  <si>
    <t>GE</t>
  </si>
  <si>
    <t>General Electric Company</t>
  </si>
  <si>
    <t>GENZ</t>
  </si>
  <si>
    <t>Genzyme Corporation</t>
  </si>
  <si>
    <t>GILD</t>
  </si>
  <si>
    <t>Gilead Sciences, Inc.</t>
  </si>
  <si>
    <t>GIS</t>
  </si>
  <si>
    <t>General Mills, Inc.</t>
  </si>
  <si>
    <t>GLW</t>
  </si>
  <si>
    <t>Corning Incorporated</t>
  </si>
  <si>
    <t>GNW</t>
  </si>
  <si>
    <t>Genworth Financial, Inc.</t>
  </si>
  <si>
    <t>Google Inc.</t>
  </si>
  <si>
    <t>GPC</t>
  </si>
  <si>
    <t>Genuine Parts Company</t>
  </si>
  <si>
    <t>GPS</t>
  </si>
  <si>
    <t>The Gap Inc.</t>
  </si>
  <si>
    <t>GR</t>
  </si>
  <si>
    <t>Goodrich Corporation</t>
  </si>
  <si>
    <t>Goldman Sachs Group, Inc.</t>
  </si>
  <si>
    <t>GT</t>
  </si>
  <si>
    <t>The Goodyear Tire &amp; Rubber Co</t>
  </si>
  <si>
    <t>GWW</t>
  </si>
  <si>
    <t>W.W. Grainger, Inc.</t>
  </si>
  <si>
    <t>H</t>
  </si>
  <si>
    <t>Realogy Corporation</t>
  </si>
  <si>
    <t>HAL</t>
  </si>
  <si>
    <t>Halliburton Company</t>
  </si>
  <si>
    <t>HAR</t>
  </si>
  <si>
    <t>Harman International Industri</t>
  </si>
  <si>
    <t>HAS</t>
  </si>
  <si>
    <t>Hasbro, Inc.</t>
  </si>
  <si>
    <t>HBAN</t>
  </si>
  <si>
    <t>Huntington Bancshares Incorpo</t>
  </si>
  <si>
    <t>HCR</t>
  </si>
  <si>
    <t>Manor Care, Inc.</t>
  </si>
  <si>
    <t>The Home Depot, Inc.</t>
  </si>
  <si>
    <t>HES</t>
  </si>
  <si>
    <t>Hess Corp.</t>
  </si>
  <si>
    <t>HET</t>
  </si>
  <si>
    <t>Harrah's Entertainment, Inc.</t>
  </si>
  <si>
    <t>HIG</t>
  </si>
  <si>
    <t>Hartford Financial Services</t>
  </si>
  <si>
    <t>HLT</t>
  </si>
  <si>
    <t>Hilton Hotels Corporation</t>
  </si>
  <si>
    <t>HMA</t>
  </si>
  <si>
    <t>Health Management Associates,</t>
  </si>
  <si>
    <t>HNZ</t>
  </si>
  <si>
    <t>H.J. Heinz Company</t>
  </si>
  <si>
    <t>Harley-Davidson, Inc.</t>
  </si>
  <si>
    <t>HON</t>
  </si>
  <si>
    <t>Honeywell International Inc.</t>
  </si>
  <si>
    <t>HOT</t>
  </si>
  <si>
    <t>Starwood Hotels &amp; Resorts Wor</t>
  </si>
  <si>
    <t>HPC</t>
  </si>
  <si>
    <t>Hercules Incorporated</t>
  </si>
  <si>
    <t>HPQ</t>
  </si>
  <si>
    <t>Hewlett-Packard Company</t>
  </si>
  <si>
    <t>HRB</t>
  </si>
  <si>
    <t>H&amp;R Block, Inc.</t>
  </si>
  <si>
    <t>HSP</t>
  </si>
  <si>
    <t>Hospira, Inc.</t>
  </si>
  <si>
    <t>HSY</t>
  </si>
  <si>
    <t>The Hershey Company</t>
  </si>
  <si>
    <t>HUM</t>
  </si>
  <si>
    <t>Humana Inc.</t>
  </si>
  <si>
    <t>IACI</t>
  </si>
  <si>
    <t>IAC/InterActiveCorp</t>
  </si>
  <si>
    <t>International Business Machin</t>
  </si>
  <si>
    <t>IFF</t>
  </si>
  <si>
    <t>International Flavors &amp; Fragr</t>
  </si>
  <si>
    <t>IGT</t>
  </si>
  <si>
    <t>International Game Technology</t>
  </si>
  <si>
    <t>INTC</t>
  </si>
  <si>
    <t>Intel Corporation</t>
  </si>
  <si>
    <t>INTU</t>
  </si>
  <si>
    <t>Intuit Inc.</t>
  </si>
  <si>
    <t>IP</t>
  </si>
  <si>
    <t>International Paper Company</t>
  </si>
  <si>
    <t>IPG</t>
  </si>
  <si>
    <t>Interpublic Group of Companie</t>
  </si>
  <si>
    <t>IR</t>
  </si>
  <si>
    <t>Ingersoll-Rand PLC</t>
  </si>
  <si>
    <t>ITT</t>
  </si>
  <si>
    <t>ITT Corporation</t>
  </si>
  <si>
    <t>ITW</t>
  </si>
  <si>
    <t>Illinois Tool Works Inc.</t>
  </si>
  <si>
    <t>JAVA</t>
  </si>
  <si>
    <t>Sun Microsystems, Inc.</t>
  </si>
  <si>
    <t>JBL</t>
  </si>
  <si>
    <t>Jabil Circuit, Inc.</t>
  </si>
  <si>
    <t>JCI</t>
  </si>
  <si>
    <t>Johnson Controls, Inc.</t>
  </si>
  <si>
    <t>JCP</t>
  </si>
  <si>
    <t>J.C. Penney Company, Inc.</t>
  </si>
  <si>
    <t>JDSU</t>
  </si>
  <si>
    <t>JDS Uniphase Corporation</t>
  </si>
  <si>
    <t>Johnson &amp; Johnson</t>
  </si>
  <si>
    <t>JNPR</t>
  </si>
  <si>
    <t>Juniper Networks, Inc.</t>
  </si>
  <si>
    <t>JNS</t>
  </si>
  <si>
    <t>Janus Capital Group Inc.</t>
  </si>
  <si>
    <t>JNY</t>
  </si>
  <si>
    <t>Jones Apparel Group, Inc.</t>
  </si>
  <si>
    <t>JPM</t>
  </si>
  <si>
    <t>JPMorgan Chase &amp; Co.</t>
  </si>
  <si>
    <t>JWN</t>
  </si>
  <si>
    <t>Nordstrom, Inc.</t>
  </si>
  <si>
    <t>K</t>
  </si>
  <si>
    <t>Kellogg Company</t>
  </si>
  <si>
    <t>KBH</t>
  </si>
  <si>
    <t>KB Home</t>
  </si>
  <si>
    <t>KEY</t>
  </si>
  <si>
    <t>KeyCorp</t>
  </si>
  <si>
    <t>KG</t>
  </si>
  <si>
    <t>King Pharmaceuticals, Inc.</t>
  </si>
  <si>
    <t>KIM</t>
  </si>
  <si>
    <t>Kimco Realty Corporation</t>
  </si>
  <si>
    <t>KLAC</t>
  </si>
  <si>
    <t>KLA-Tencor Corporation</t>
  </si>
  <si>
    <t>KMB</t>
  </si>
  <si>
    <t>Kimberly-Clark Corporation</t>
  </si>
  <si>
    <t>KMI</t>
  </si>
  <si>
    <t>Kinder Morgan, Inc.</t>
  </si>
  <si>
    <t>The Coca-Cola Company</t>
  </si>
  <si>
    <t>KR</t>
  </si>
  <si>
    <t>The Kroger Co.</t>
  </si>
  <si>
    <t>KSE</t>
  </si>
  <si>
    <t>KeySpan Corporation</t>
  </si>
  <si>
    <t>KSS</t>
  </si>
  <si>
    <t>Kohl's Corporation</t>
  </si>
  <si>
    <t>L</t>
  </si>
  <si>
    <t>Loews Corporation</t>
  </si>
  <si>
    <t>LEG</t>
  </si>
  <si>
    <t>Leggett &amp; Platt, Inc.</t>
  </si>
  <si>
    <t>LEHMQ</t>
  </si>
  <si>
    <t>Lehman Brothers Holdings Inc.</t>
  </si>
  <si>
    <t>LEN</t>
  </si>
  <si>
    <t>Lennar Corporation</t>
  </si>
  <si>
    <t>LH</t>
  </si>
  <si>
    <t>Laboratory Corp. of America H</t>
  </si>
  <si>
    <t>LIZ</t>
  </si>
  <si>
    <t>Liz Claiborne, Inc.</t>
  </si>
  <si>
    <t>LLL</t>
  </si>
  <si>
    <t xml:space="preserve">L-3 Communications Holdings, </t>
  </si>
  <si>
    <t>LLTC</t>
  </si>
  <si>
    <t>Linear Technology Corporation</t>
  </si>
  <si>
    <t>LLY</t>
  </si>
  <si>
    <t>Eli Lilly &amp; Co.</t>
  </si>
  <si>
    <t>LM</t>
  </si>
  <si>
    <t>Legg Mason, Inc.</t>
  </si>
  <si>
    <t>LMT</t>
  </si>
  <si>
    <t>Lockheed Martin Corporation</t>
  </si>
  <si>
    <t>LNC</t>
  </si>
  <si>
    <t>Lincoln National Corporation</t>
  </si>
  <si>
    <t>LOW</t>
  </si>
  <si>
    <t>Lowe's Companies, Inc.</t>
  </si>
  <si>
    <t>LSI</t>
  </si>
  <si>
    <t>LSI Corporation</t>
  </si>
  <si>
    <t>LTD</t>
  </si>
  <si>
    <t>Limited Brands, Inc.</t>
  </si>
  <si>
    <t>LUV</t>
  </si>
  <si>
    <t>Southwest Airlines Co.</t>
  </si>
  <si>
    <t>LXK</t>
  </si>
  <si>
    <t>Lexmark International, Inc.</t>
  </si>
  <si>
    <t>M</t>
  </si>
  <si>
    <t>Macy's, Inc.</t>
  </si>
  <si>
    <t>MAR</t>
  </si>
  <si>
    <t>Marriott International, Inc.</t>
  </si>
  <si>
    <t>MAS</t>
  </si>
  <si>
    <t>Masco Corporation</t>
  </si>
  <si>
    <t>MAT</t>
  </si>
  <si>
    <t>Mattel, Inc.</t>
  </si>
  <si>
    <t>MBI</t>
  </si>
  <si>
    <t>MBIA Inc.</t>
  </si>
  <si>
    <t>McDonald's Corporation</t>
  </si>
  <si>
    <t>MCK</t>
  </si>
  <si>
    <t>McKesson Corporation</t>
  </si>
  <si>
    <t>MCO</t>
  </si>
  <si>
    <t>Moody's Corporation</t>
  </si>
  <si>
    <t>MDP</t>
  </si>
  <si>
    <t>Meredith Corporation</t>
  </si>
  <si>
    <t>MDT</t>
  </si>
  <si>
    <t>Medtronic, Inc.</t>
  </si>
  <si>
    <t>MEDI</t>
  </si>
  <si>
    <t>MedImmune, Inc.</t>
  </si>
  <si>
    <t>MEL</t>
  </si>
  <si>
    <t>Mellon Financial Corporation</t>
  </si>
  <si>
    <t>MER</t>
  </si>
  <si>
    <t>Merrill Lynch &amp; Co., Inc.</t>
  </si>
  <si>
    <t>MET</t>
  </si>
  <si>
    <t>MetLife, Inc.</t>
  </si>
  <si>
    <t>MHP</t>
  </si>
  <si>
    <t>The McGraw-Hill Companies, In</t>
  </si>
  <si>
    <t>MHS</t>
  </si>
  <si>
    <t>Medco Health Solutions Inc.</t>
  </si>
  <si>
    <t>MI</t>
  </si>
  <si>
    <t>Marshall &amp; Ilsley Corporation</t>
  </si>
  <si>
    <t>MIL</t>
  </si>
  <si>
    <t>Millipore Corporation</t>
  </si>
  <si>
    <t>MKC</t>
  </si>
  <si>
    <t>McCormick &amp; Company, Incorpor</t>
  </si>
  <si>
    <t>MMC</t>
  </si>
  <si>
    <t>Marsh &amp; McLennan Companies, I</t>
  </si>
  <si>
    <t>MMM</t>
  </si>
  <si>
    <t>3M Company</t>
  </si>
  <si>
    <t>Conglomerates</t>
  </si>
  <si>
    <t>MO</t>
  </si>
  <si>
    <t>Altria Group, Inc.</t>
  </si>
  <si>
    <t>MOLX</t>
  </si>
  <si>
    <t>Molex Incorporated</t>
  </si>
  <si>
    <t>MON</t>
  </si>
  <si>
    <t>Monsanto Company</t>
  </si>
  <si>
    <t>MOT</t>
  </si>
  <si>
    <t>Motorola, Inc.</t>
  </si>
  <si>
    <t>MRK</t>
  </si>
  <si>
    <t>Merck &amp; Co., Inc.</t>
  </si>
  <si>
    <t>MRO</t>
  </si>
  <si>
    <t>Marathon Oil Corporation</t>
  </si>
  <si>
    <t>MS</t>
  </si>
  <si>
    <t>Morgan Stanley</t>
  </si>
  <si>
    <t>Microsoft Corporation</t>
  </si>
  <si>
    <t>MTB</t>
  </si>
  <si>
    <t>M&amp;T Bank Corporation</t>
  </si>
  <si>
    <t>MTG</t>
  </si>
  <si>
    <t>MGIC Investment Corp.</t>
  </si>
  <si>
    <t>MTLQQ</t>
  </si>
  <si>
    <t>Motors Liquidation Company</t>
  </si>
  <si>
    <t>MU</t>
  </si>
  <si>
    <t>Micron Technology, Inc.</t>
  </si>
  <si>
    <t>MUR</t>
  </si>
  <si>
    <t>Murphy Oil Corporation</t>
  </si>
  <si>
    <t>MWV</t>
  </si>
  <si>
    <t>MeadWestvaco Corp.</t>
  </si>
  <si>
    <t>MWW</t>
  </si>
  <si>
    <t>Monster Worldwide, Inc.</t>
  </si>
  <si>
    <t>MXIM</t>
  </si>
  <si>
    <t>Maxim Integrated Products Inc</t>
  </si>
  <si>
    <t>MYL</t>
  </si>
  <si>
    <t>Mylan Inc.</t>
  </si>
  <si>
    <t>NBR</t>
  </si>
  <si>
    <t>Nabors Industries Ltd.</t>
  </si>
  <si>
    <t>NCC</t>
  </si>
  <si>
    <t>National City Corporation</t>
  </si>
  <si>
    <t>NCR</t>
  </si>
  <si>
    <t>NCR Corporation</t>
  </si>
  <si>
    <t>NE</t>
  </si>
  <si>
    <t>Noble Corporation</t>
  </si>
  <si>
    <t>NEM</t>
  </si>
  <si>
    <t>Newmont Mining Corporation</t>
  </si>
  <si>
    <t>NI</t>
  </si>
  <si>
    <t>NiSource Inc.</t>
  </si>
  <si>
    <t>NKE</t>
  </si>
  <si>
    <t>NIKE, Inc.</t>
  </si>
  <si>
    <t>NOC</t>
  </si>
  <si>
    <t>Northrop Grumman Corporation</t>
  </si>
  <si>
    <t>NOV</t>
  </si>
  <si>
    <t>National-Oilwell Varco, Inc.</t>
  </si>
  <si>
    <t>NOVL</t>
  </si>
  <si>
    <t>Novell, Inc.</t>
  </si>
  <si>
    <t>NSC</t>
  </si>
  <si>
    <t>Norfolk Southern Corp.</t>
  </si>
  <si>
    <t>NSM</t>
  </si>
  <si>
    <t>National Semiconductor Corpor</t>
  </si>
  <si>
    <t>NTAP</t>
  </si>
  <si>
    <t>NetApp Inc.</t>
  </si>
  <si>
    <t>NTRS</t>
  </si>
  <si>
    <t>Northern Trust Corporation</t>
  </si>
  <si>
    <t>NUE</t>
  </si>
  <si>
    <t>Nucor Corporation</t>
  </si>
  <si>
    <t>NVDA</t>
  </si>
  <si>
    <t>NVIDIA Corporation</t>
  </si>
  <si>
    <t>NVLS</t>
  </si>
  <si>
    <t>Novellus Systems, Inc.</t>
  </si>
  <si>
    <t>NWL</t>
  </si>
  <si>
    <t>Newell Rubbermaid Inc.</t>
  </si>
  <si>
    <t>NWSA</t>
  </si>
  <si>
    <t>News Corporation</t>
  </si>
  <si>
    <t>NYT</t>
  </si>
  <si>
    <t>The New York Times Company</t>
  </si>
  <si>
    <t>ODP</t>
  </si>
  <si>
    <t>Office Depot, Inc.</t>
  </si>
  <si>
    <t>OMC</t>
  </si>
  <si>
    <t>Omnicom Group Inc.</t>
  </si>
  <si>
    <t>OMX</t>
  </si>
  <si>
    <t>OfficeMax Incorporated</t>
  </si>
  <si>
    <t>ORCL</t>
  </si>
  <si>
    <t>Oracle Corporation</t>
  </si>
  <si>
    <t>OXY</t>
  </si>
  <si>
    <t>Occidental Petroleum Corporat</t>
  </si>
  <si>
    <t>PAYX</t>
  </si>
  <si>
    <t>Paychex, Inc.</t>
  </si>
  <si>
    <t>PBG</t>
  </si>
  <si>
    <t>The Pepsi Bottling Group, Inc</t>
  </si>
  <si>
    <t>PBI</t>
  </si>
  <si>
    <t>Pitney Bowes Inc.</t>
  </si>
  <si>
    <t>PCAR</t>
  </si>
  <si>
    <t>PACCAR Inc</t>
  </si>
  <si>
    <t>PCG</t>
  </si>
  <si>
    <t>PG&amp;E Corporation</t>
  </si>
  <si>
    <t>PCL</t>
  </si>
  <si>
    <t>Plum Creek Timber Co. Inc.</t>
  </si>
  <si>
    <t>PD</t>
  </si>
  <si>
    <t>Phelps Dodge Corporation</t>
  </si>
  <si>
    <t>PDCO</t>
  </si>
  <si>
    <t>Patterson Companies, Inc.</t>
  </si>
  <si>
    <t>PEG</t>
  </si>
  <si>
    <t>Public Service Enterprise Gro</t>
  </si>
  <si>
    <t>PEP</t>
  </si>
  <si>
    <t>PepsiCo, Inc.</t>
  </si>
  <si>
    <t>PFE</t>
  </si>
  <si>
    <t>Pfizer Inc.</t>
  </si>
  <si>
    <t>PFG</t>
  </si>
  <si>
    <t>Principal Financial Group, In</t>
  </si>
  <si>
    <t>The Procter &amp; Gamble Company</t>
  </si>
  <si>
    <t>PGL</t>
  </si>
  <si>
    <t>Peoples Energy Corporation</t>
  </si>
  <si>
    <t>PGN</t>
  </si>
  <si>
    <t>Progress Energy, Inc.</t>
  </si>
  <si>
    <t>PGR</t>
  </si>
  <si>
    <t>The Progressive Corporation</t>
  </si>
  <si>
    <t>PH</t>
  </si>
  <si>
    <t>Parker-Hannifin Corporation</t>
  </si>
  <si>
    <t>PHM</t>
  </si>
  <si>
    <t>PulteGroup, Inc.</t>
  </si>
  <si>
    <t>PKI</t>
  </si>
  <si>
    <t>PerkinElmer, Inc.</t>
  </si>
  <si>
    <t>PLD</t>
  </si>
  <si>
    <t>ProLogis</t>
  </si>
  <si>
    <t>PLL</t>
  </si>
  <si>
    <t>Pall Corporation</t>
  </si>
  <si>
    <t>PMCS</t>
  </si>
  <si>
    <t>PMC-Sierra, Inc.</t>
  </si>
  <si>
    <t>PNC</t>
  </si>
  <si>
    <t>PNC Financial Services</t>
  </si>
  <si>
    <t>PNW</t>
  </si>
  <si>
    <t>Pinnacle West Capital Corpora</t>
  </si>
  <si>
    <t>PPG</t>
  </si>
  <si>
    <t>PPG Industries, Inc.</t>
  </si>
  <si>
    <t>PPL</t>
  </si>
  <si>
    <t>PPL Corporation</t>
  </si>
  <si>
    <t>PRU</t>
  </si>
  <si>
    <t>Prudential Financial, Inc.</t>
  </si>
  <si>
    <t>PSA</t>
  </si>
  <si>
    <t>Public Storage</t>
  </si>
  <si>
    <t>PTV</t>
  </si>
  <si>
    <t>Pactiv Corporation</t>
  </si>
  <si>
    <t>PX</t>
  </si>
  <si>
    <t>Praxair, Inc.</t>
  </si>
  <si>
    <t>Q</t>
  </si>
  <si>
    <t>Qwest Communications Internat</t>
  </si>
  <si>
    <t>QCOM</t>
  </si>
  <si>
    <t>QUALCOMM, Inc.</t>
  </si>
  <si>
    <t>QLGC</t>
  </si>
  <si>
    <t>QLogic Corporation</t>
  </si>
  <si>
    <t>R</t>
  </si>
  <si>
    <t>Ryder System, Inc.</t>
  </si>
  <si>
    <t>RAI</t>
  </si>
  <si>
    <t>Reynolds American, Inc.</t>
  </si>
  <si>
    <t>RDC</t>
  </si>
  <si>
    <t>Rowan Companies, Inc.</t>
  </si>
  <si>
    <t>RF</t>
  </si>
  <si>
    <t>Regions Financial Corporation</t>
  </si>
  <si>
    <t>RHI</t>
  </si>
  <si>
    <t>Robert Half International Inc</t>
  </si>
  <si>
    <t>RIG</t>
  </si>
  <si>
    <t>Transocean LTD</t>
  </si>
  <si>
    <t>ROH</t>
  </si>
  <si>
    <t>Rohm and Haas Company</t>
  </si>
  <si>
    <t>ROK</t>
  </si>
  <si>
    <t>Rockwell Automation</t>
  </si>
  <si>
    <t>RRD</t>
  </si>
  <si>
    <t>R.R. Donnelley &amp; Sons Company</t>
  </si>
  <si>
    <t>RSH</t>
  </si>
  <si>
    <t>RadioShack Corporation</t>
  </si>
  <si>
    <t>RTN</t>
  </si>
  <si>
    <t>Raytheon Company</t>
  </si>
  <si>
    <t>RX</t>
  </si>
  <si>
    <t>IMS Health, Inc.</t>
  </si>
  <si>
    <t>S</t>
  </si>
  <si>
    <t>Sprint Nextel Corporation</t>
  </si>
  <si>
    <t>S&amp;P 500</t>
  </si>
  <si>
    <t>SAF</t>
  </si>
  <si>
    <t>SAFECO Corporation</t>
  </si>
  <si>
    <t>SANM</t>
  </si>
  <si>
    <t>Sanmina-SCI Corporation</t>
  </si>
  <si>
    <t>SBL</t>
  </si>
  <si>
    <t>Symbol Technologies, Inc.</t>
  </si>
  <si>
    <t>SBUX</t>
  </si>
  <si>
    <t>Starbucks Corporation</t>
  </si>
  <si>
    <t>SCHW</t>
  </si>
  <si>
    <t>The Charles Schwab Corporatio</t>
  </si>
  <si>
    <t>SEE</t>
  </si>
  <si>
    <t>Sealed Air Corp.</t>
  </si>
  <si>
    <t>SGP</t>
  </si>
  <si>
    <t>Schering-Plough Corporation</t>
  </si>
  <si>
    <t>SHLD</t>
  </si>
  <si>
    <t>Sears Holdings Corporation</t>
  </si>
  <si>
    <t>SHW</t>
  </si>
  <si>
    <t>Sherwin-Williams Company</t>
  </si>
  <si>
    <t>SIAL</t>
  </si>
  <si>
    <t>Sigma-Aldrich Corporation</t>
  </si>
  <si>
    <t>SII</t>
  </si>
  <si>
    <t>Smith International, Inc.</t>
  </si>
  <si>
    <t>SLB</t>
  </si>
  <si>
    <t>Schlumberger Limited.</t>
  </si>
  <si>
    <t>SLE</t>
  </si>
  <si>
    <t>Sara Lee Corp.</t>
  </si>
  <si>
    <t>SLM</t>
  </si>
  <si>
    <t>SLM Corporation</t>
  </si>
  <si>
    <t>SLR</t>
  </si>
  <si>
    <t>Solectron Corporation</t>
  </si>
  <si>
    <t>SNA</t>
  </si>
  <si>
    <t>Snap-on Incorporated</t>
  </si>
  <si>
    <t>SNDK</t>
  </si>
  <si>
    <t>SanDisk Corporation</t>
  </si>
  <si>
    <t>SNV</t>
  </si>
  <si>
    <t>Synovus Financial Corp.</t>
  </si>
  <si>
    <t>SO</t>
  </si>
  <si>
    <t>The Southern Company</t>
  </si>
  <si>
    <t>SOV</t>
  </si>
  <si>
    <t>Sovereign Bancorp, Inc.</t>
  </si>
  <si>
    <t>SPG</t>
  </si>
  <si>
    <t>Simon Property Group, Inc</t>
  </si>
  <si>
    <t>SPLS</t>
  </si>
  <si>
    <t>Staples, Inc.</t>
  </si>
  <si>
    <t>SRE</t>
  </si>
  <si>
    <t>Sempra Energy</t>
  </si>
  <si>
    <t>SSP</t>
  </si>
  <si>
    <t>The E.W. Scripps Company</t>
  </si>
  <si>
    <t>STI</t>
  </si>
  <si>
    <t>SunTrust Banks, Inc.</t>
  </si>
  <si>
    <t>STJ</t>
  </si>
  <si>
    <t>St. Jude Medical, Inc.</t>
  </si>
  <si>
    <t>STR</t>
  </si>
  <si>
    <t>Questar Corporation</t>
  </si>
  <si>
    <t>STT</t>
  </si>
  <si>
    <t>State Street Corporation</t>
  </si>
  <si>
    <t>STZ</t>
  </si>
  <si>
    <t>Constellation Brands, Inc.</t>
  </si>
  <si>
    <t>SUN</t>
  </si>
  <si>
    <t>Sunoco, Inc.</t>
  </si>
  <si>
    <t>SVU</t>
  </si>
  <si>
    <t>SUPERVALU INC.</t>
  </si>
  <si>
    <t>SWK</t>
  </si>
  <si>
    <t>Stanley Black &amp; Decker, Inc.</t>
  </si>
  <si>
    <t>SWY</t>
  </si>
  <si>
    <t>Safeway Inc.</t>
  </si>
  <si>
    <t>SYK</t>
  </si>
  <si>
    <t>Stryker Corporation</t>
  </si>
  <si>
    <t>SYMC</t>
  </si>
  <si>
    <t>Symantec Corporation</t>
  </si>
  <si>
    <t>SYY</t>
  </si>
  <si>
    <t>SYSCO Corporation</t>
  </si>
  <si>
    <t>AT&amp;T Inc.</t>
  </si>
  <si>
    <t>TAP</t>
  </si>
  <si>
    <t>Molson Coors Brewing Company</t>
  </si>
  <si>
    <t>TE</t>
  </si>
  <si>
    <t>TECO Energy, Inc.</t>
  </si>
  <si>
    <t>TEK</t>
  </si>
  <si>
    <t>Tektronix, Inc.</t>
  </si>
  <si>
    <t>TER</t>
  </si>
  <si>
    <t>Teradyne, Inc.</t>
  </si>
  <si>
    <t>TEX</t>
  </si>
  <si>
    <t>Terex Corporation</t>
  </si>
  <si>
    <t>TGT</t>
  </si>
  <si>
    <t>Target Corporation</t>
  </si>
  <si>
    <t>THC</t>
  </si>
  <si>
    <t>Tenet Healthcare Corporation</t>
  </si>
  <si>
    <t>TIF</t>
  </si>
  <si>
    <t>Tiffany &amp; Co.</t>
  </si>
  <si>
    <t>TIN</t>
  </si>
  <si>
    <t>Temple-Inland, Inc.</t>
  </si>
  <si>
    <t>TJX</t>
  </si>
  <si>
    <t>The TJX Companies, Inc.</t>
  </si>
  <si>
    <t>TLAB</t>
  </si>
  <si>
    <t>Tellabs, Inc.</t>
  </si>
  <si>
    <t>TMK</t>
  </si>
  <si>
    <t>Torchmark Corporation</t>
  </si>
  <si>
    <t>TMO</t>
  </si>
  <si>
    <t>Thermo Fisher Scientific Inc.</t>
  </si>
  <si>
    <t>TRB</t>
  </si>
  <si>
    <t>Tribune Company</t>
  </si>
  <si>
    <t>TROW</t>
  </si>
  <si>
    <t>T. Rowe Price Group, Inc.</t>
  </si>
  <si>
    <t>TRV</t>
  </si>
  <si>
    <t>The Travelers Companies, Inc.</t>
  </si>
  <si>
    <t>TSG</t>
  </si>
  <si>
    <t>Sabre Holdings Corporation</t>
  </si>
  <si>
    <t>TSN</t>
  </si>
  <si>
    <t>Tyson Foods, Inc.</t>
  </si>
  <si>
    <t>TT</t>
  </si>
  <si>
    <t>Trane Inc</t>
  </si>
  <si>
    <t>TWX</t>
  </si>
  <si>
    <t>Time Warner Inc.</t>
  </si>
  <si>
    <t>TXN</t>
  </si>
  <si>
    <t>Texas Instruments Incorporate</t>
  </si>
  <si>
    <t>TXT</t>
  </si>
  <si>
    <t>Textron Inc.</t>
  </si>
  <si>
    <t>TXU</t>
  </si>
  <si>
    <t>TXU Corporation</t>
  </si>
  <si>
    <t>TYC</t>
  </si>
  <si>
    <t>Tyco International Ltd.</t>
  </si>
  <si>
    <t>UIS</t>
  </si>
  <si>
    <t>Unisys Corporation</t>
  </si>
  <si>
    <t>UNH</t>
  </si>
  <si>
    <t>UnitedHealth Group Inc.</t>
  </si>
  <si>
    <t>UNM</t>
  </si>
  <si>
    <t>Unum Group</t>
  </si>
  <si>
    <t>UNP</t>
  </si>
  <si>
    <t>Union Pacific Corporation</t>
  </si>
  <si>
    <t>UPS</t>
  </si>
  <si>
    <t>United Parcel Service, Inc.</t>
  </si>
  <si>
    <t>USB</t>
  </si>
  <si>
    <t>U.S. Bancorp</t>
  </si>
  <si>
    <t>UST</t>
  </si>
  <si>
    <t>UST Inc.</t>
  </si>
  <si>
    <t>UTX</t>
  </si>
  <si>
    <t>United Technologies Corporati</t>
  </si>
  <si>
    <t>UVN</t>
  </si>
  <si>
    <t>Univision Communications Inc.</t>
  </si>
  <si>
    <t>VFC</t>
  </si>
  <si>
    <t>V.F. Corporation</t>
  </si>
  <si>
    <t>VIA.B</t>
  </si>
  <si>
    <t>Viacom, Inc.</t>
  </si>
  <si>
    <t>VLO</t>
  </si>
  <si>
    <t>Valero Energy Corporation</t>
  </si>
  <si>
    <t>VMC</t>
  </si>
  <si>
    <t>Vulcan Materials Company</t>
  </si>
  <si>
    <t>VNO</t>
  </si>
  <si>
    <t>Vornado Realty Trust</t>
  </si>
  <si>
    <t>VRSN</t>
  </si>
  <si>
    <t>Verisign, Inc.</t>
  </si>
  <si>
    <t>VZ</t>
  </si>
  <si>
    <t>Verizon Communications Inc.</t>
  </si>
  <si>
    <t>Walgreen Company</t>
  </si>
  <si>
    <t>WAMUQ</t>
  </si>
  <si>
    <t>Washington Mutual, Inc.</t>
  </si>
  <si>
    <t>WAT</t>
  </si>
  <si>
    <t>Waters Corporation</t>
  </si>
  <si>
    <t>WB</t>
  </si>
  <si>
    <t>Wachovia Corporation</t>
  </si>
  <si>
    <t>WEN</t>
  </si>
  <si>
    <t>Wendy's International</t>
  </si>
  <si>
    <t>WFC</t>
  </si>
  <si>
    <t>Wells Fargo &amp; Company</t>
  </si>
  <si>
    <t>WFMI</t>
  </si>
  <si>
    <t>Whole Foods Market, Inc.</t>
  </si>
  <si>
    <t>WFT</t>
  </si>
  <si>
    <t>Weatherford International Ltd</t>
  </si>
  <si>
    <t>WHR</t>
  </si>
  <si>
    <t>Whirlpool Corporation</t>
  </si>
  <si>
    <t>WIN</t>
  </si>
  <si>
    <t>Windstream Corporation</t>
  </si>
  <si>
    <t>WLP</t>
  </si>
  <si>
    <t>WellPoint, Inc.</t>
  </si>
  <si>
    <t>WM</t>
  </si>
  <si>
    <t>Waste Management, Inc.</t>
  </si>
  <si>
    <t>WMB</t>
  </si>
  <si>
    <t>Williams Companies, Inc.</t>
  </si>
  <si>
    <t>Wal-Mart Stores, Inc.</t>
  </si>
  <si>
    <t>WPI</t>
  </si>
  <si>
    <t>Watson Pharmaceuticals, Inc.</t>
  </si>
  <si>
    <t>WU</t>
  </si>
  <si>
    <t>The Western Union Company</t>
  </si>
  <si>
    <t>WWY</t>
  </si>
  <si>
    <t>Wm. Wrigley Jr. Company</t>
  </si>
  <si>
    <t>WY</t>
  </si>
  <si>
    <t>Weyerhaeuser Company</t>
  </si>
  <si>
    <t>WYE</t>
  </si>
  <si>
    <t>Wyeth</t>
  </si>
  <si>
    <t>WYN</t>
  </si>
  <si>
    <t>Wyndham Worldwide Corporation</t>
  </si>
  <si>
    <t>X</t>
  </si>
  <si>
    <t>United States Steel Corporati</t>
  </si>
  <si>
    <t>XEL</t>
  </si>
  <si>
    <t>Xcel Energy Inc.</t>
  </si>
  <si>
    <t>XL Capital Ltd.</t>
  </si>
  <si>
    <t>XLNX</t>
  </si>
  <si>
    <t>Xilinx, Inc.</t>
  </si>
  <si>
    <t>XOM</t>
  </si>
  <si>
    <t>Exxon Mobil Corporation</t>
  </si>
  <si>
    <t>XRX</t>
  </si>
  <si>
    <t>Xerox Corporation</t>
  </si>
  <si>
    <t>XTO</t>
  </si>
  <si>
    <t>XTO Energy Inc.</t>
  </si>
  <si>
    <t>Yahoo! Inc.</t>
  </si>
  <si>
    <t>YUM</t>
  </si>
  <si>
    <t>Yum! Brands, Inc.</t>
  </si>
  <si>
    <t>ZION</t>
  </si>
  <si>
    <t>Zions Bancorporation</t>
  </si>
  <si>
    <t>ZMH</t>
  </si>
  <si>
    <t>Zimmer Holdings, Inc.</t>
  </si>
  <si>
    <t>S&amp;P 500 Return</t>
  </si>
  <si>
    <t>Write an IF Statement to put either "Over Budget" or "Within Budget" in Column D</t>
  </si>
  <si>
    <t>Write an IF Statement to put either the dollar amount "Over Budget" or $0.00 if "Within Budget" in Column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</si>
</sst>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;[Red]\-&quot;$&quot;#,##0"/>
    <numFmt numFmtId="165" formatCode="_(&quot;$&quot;* #,##0_);_(&quot;$&quot;* \(#,##0\);_(&quot;$&quot;* &quot;-&quot;??_);_(@_)"/>
    <numFmt numFmtId="166" formatCode="0.000"/>
    <numFmt numFmtId="167" formatCode="0.0%"/>
    <numFmt numFmtId="168" formatCode="0.0000"/>
    <numFmt numFmtId="169" formatCode="0.00000"/>
    <numFmt numFmtId="173" formatCode="&quot;$&quot;#,##0.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vertAlign val="superscript"/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</font>
    <font>
      <b/>
      <sz val="10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Times New Roman"/>
      <family val="1"/>
    </font>
    <font>
      <b/>
      <i/>
      <sz val="10"/>
      <name val="Times New Roman"/>
      <family val="1"/>
    </font>
    <font>
      <b/>
      <sz val="10"/>
      <color rgb="FFFF0000"/>
      <name val="Times New Roman"/>
      <family val="1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sz val="11"/>
      <color rgb="FFC00000"/>
      <name val="Calibri"/>
      <family val="2"/>
      <scheme val="minor"/>
    </font>
    <font>
      <sz val="10"/>
      <color indexed="10"/>
      <name val="Times New Roman"/>
      <family val="1"/>
    </font>
    <font>
      <vertAlign val="subscript"/>
      <sz val="10"/>
      <color indexed="10"/>
      <name val="Times New Roman"/>
      <family val="1"/>
    </font>
    <font>
      <sz val="11"/>
      <color indexed="10"/>
      <name val="Times New Roman"/>
      <family val="1"/>
    </font>
    <font>
      <vertAlign val="subscript"/>
      <sz val="11"/>
      <color indexed="10"/>
      <name val="Times New Roman"/>
      <family val="1"/>
    </font>
    <font>
      <sz val="11"/>
      <name val="Times New Roman"/>
      <family val="1"/>
    </font>
    <font>
      <vertAlign val="subscript"/>
      <sz val="8"/>
      <name val="Times New Roman"/>
      <family val="1"/>
    </font>
    <font>
      <b/>
      <sz val="10"/>
      <color indexed="10"/>
      <name val="Times New Roman"/>
      <family val="1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01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5">
    <xf numFmtId="0" fontId="0" fillId="0" borderId="0" xfId="0"/>
    <xf numFmtId="0" fontId="3" fillId="0" borderId="0" xfId="0" quotePrefix="1" applyFont="1"/>
    <xf numFmtId="0" fontId="3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 applyAlignment="1">
      <alignment horizontal="left"/>
    </xf>
    <xf numFmtId="0" fontId="2" fillId="2" borderId="2" xfId="0" applyFont="1" applyFill="1" applyBorder="1"/>
    <xf numFmtId="0" fontId="0" fillId="2" borderId="3" xfId="0" applyFill="1" applyBorder="1"/>
    <xf numFmtId="6" fontId="0" fillId="2" borderId="3" xfId="0" applyNumberFormat="1" applyFill="1" applyBorder="1" applyAlignment="1">
      <alignment horizontal="center"/>
    </xf>
    <xf numFmtId="6" fontId="0" fillId="2" borderId="4" xfId="0" applyNumberFormat="1" applyFill="1" applyBorder="1" applyAlignment="1">
      <alignment horizontal="center"/>
    </xf>
    <xf numFmtId="0" fontId="0" fillId="2" borderId="8" xfId="0" applyFill="1" applyBorder="1"/>
    <xf numFmtId="0" fontId="0" fillId="2" borderId="0" xfId="0" applyFill="1"/>
    <xf numFmtId="6" fontId="0" fillId="2" borderId="9" xfId="0" applyNumberFormat="1" applyFill="1" applyBorder="1" applyAlignment="1">
      <alignment horizontal="center"/>
    </xf>
    <xf numFmtId="6" fontId="0" fillId="2" borderId="10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6" fontId="0" fillId="2" borderId="0" xfId="0" applyNumberFormat="1" applyFill="1" applyAlignment="1">
      <alignment horizontal="center"/>
    </xf>
    <xf numFmtId="0" fontId="0" fillId="2" borderId="2" xfId="0" applyFill="1" applyBorder="1"/>
    <xf numFmtId="10" fontId="0" fillId="2" borderId="11" xfId="0" applyNumberFormat="1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2" fillId="0" borderId="0" xfId="0" applyFont="1"/>
    <xf numFmtId="0" fontId="6" fillId="0" borderId="0" xfId="0" applyFont="1"/>
    <xf numFmtId="8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7" fillId="0" borderId="19" xfId="0" quotePrefix="1" applyFont="1" applyBorder="1" applyAlignment="1">
      <alignment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" fillId="0" borderId="23" xfId="0" applyFont="1" applyBorder="1"/>
    <xf numFmtId="0" fontId="0" fillId="0" borderId="24" xfId="0" applyBorder="1"/>
    <xf numFmtId="0" fontId="0" fillId="0" borderId="25" xfId="0" applyBorder="1"/>
    <xf numFmtId="8" fontId="0" fillId="0" borderId="19" xfId="0" applyNumberFormat="1" applyBorder="1"/>
    <xf numFmtId="6" fontId="2" fillId="2" borderId="26" xfId="0" applyNumberFormat="1" applyFont="1" applyFill="1" applyBorder="1" applyAlignment="1">
      <alignment horizontal="center"/>
    </xf>
    <xf numFmtId="0" fontId="9" fillId="0" borderId="0" xfId="0" applyFont="1"/>
    <xf numFmtId="1" fontId="0" fillId="2" borderId="17" xfId="0" applyNumberFormat="1" applyFill="1" applyBorder="1" applyAlignment="1">
      <alignment horizontal="center"/>
    </xf>
    <xf numFmtId="165" fontId="0" fillId="2" borderId="16" xfId="1" applyNumberFormat="1" applyFont="1" applyFill="1" applyBorder="1" applyAlignment="1">
      <alignment horizontal="center"/>
    </xf>
    <xf numFmtId="165" fontId="0" fillId="2" borderId="15" xfId="1" applyNumberFormat="1" applyFont="1" applyFill="1" applyBorder="1" applyAlignment="1">
      <alignment horizontal="center"/>
    </xf>
    <xf numFmtId="0" fontId="2" fillId="0" borderId="0" xfId="0" quotePrefix="1" applyFont="1"/>
    <xf numFmtId="10" fontId="0" fillId="2" borderId="16" xfId="2" applyNumberFormat="1" applyFont="1" applyFill="1" applyBorder="1" applyAlignment="1">
      <alignment horizontal="center"/>
    </xf>
    <xf numFmtId="44" fontId="0" fillId="0" borderId="0" xfId="0" applyNumberFormat="1"/>
    <xf numFmtId="6" fontId="0" fillId="2" borderId="9" xfId="0" quotePrefix="1" applyNumberFormat="1" applyFill="1" applyBorder="1" applyAlignment="1">
      <alignment horizontal="center"/>
    </xf>
    <xf numFmtId="6" fontId="0" fillId="0" borderId="0" xfId="0" applyNumberFormat="1"/>
    <xf numFmtId="0" fontId="11" fillId="0" borderId="0" xfId="0" applyFont="1" applyAlignment="1">
      <alignment horizontal="left"/>
    </xf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4" fillId="0" borderId="0" xfId="0" applyFont="1"/>
    <xf numFmtId="10" fontId="14" fillId="0" borderId="0" xfId="2" applyNumberFormat="1" applyFont="1" applyFill="1" applyBorder="1" applyAlignment="1">
      <alignment horizontal="center"/>
    </xf>
    <xf numFmtId="10" fontId="12" fillId="0" borderId="0" xfId="2" applyNumberFormat="1" applyFont="1" applyFill="1" applyBorder="1" applyAlignment="1">
      <alignment horizontal="center"/>
    </xf>
    <xf numFmtId="10" fontId="12" fillId="0" borderId="9" xfId="2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167" fontId="12" fillId="0" borderId="0" xfId="2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7" fontId="17" fillId="0" borderId="0" xfId="2" applyNumberFormat="1" applyFont="1" applyFill="1" applyBorder="1" applyAlignment="1">
      <alignment horizontal="left"/>
    </xf>
    <xf numFmtId="166" fontId="14" fillId="0" borderId="0" xfId="0" applyNumberFormat="1" applyFont="1" applyAlignment="1">
      <alignment horizontal="center"/>
    </xf>
    <xf numFmtId="168" fontId="13" fillId="0" borderId="18" xfId="0" applyNumberFormat="1" applyFont="1" applyBorder="1" applyAlignment="1">
      <alignment horizontal="center"/>
    </xf>
    <xf numFmtId="168" fontId="13" fillId="0" borderId="19" xfId="0" applyNumberFormat="1" applyFont="1" applyBorder="1" applyAlignment="1">
      <alignment horizontal="center"/>
    </xf>
    <xf numFmtId="168" fontId="13" fillId="0" borderId="20" xfId="0" applyNumberFormat="1" applyFont="1" applyBorder="1" applyAlignment="1">
      <alignment horizontal="center"/>
    </xf>
    <xf numFmtId="167" fontId="12" fillId="0" borderId="0" xfId="2" applyNumberFormat="1" applyFont="1" applyFill="1" applyBorder="1"/>
    <xf numFmtId="168" fontId="13" fillId="0" borderId="21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8" fontId="13" fillId="0" borderId="22" xfId="0" applyNumberFormat="1" applyFont="1" applyBorder="1" applyAlignment="1">
      <alignment horizontal="center"/>
    </xf>
    <xf numFmtId="168" fontId="13" fillId="0" borderId="23" xfId="0" applyNumberFormat="1" applyFont="1" applyBorder="1" applyAlignment="1">
      <alignment horizontal="center"/>
    </xf>
    <xf numFmtId="168" fontId="13" fillId="0" borderId="24" xfId="0" applyNumberFormat="1" applyFont="1" applyBorder="1" applyAlignment="1">
      <alignment horizontal="center"/>
    </xf>
    <xf numFmtId="168" fontId="13" fillId="0" borderId="25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10" fontId="12" fillId="0" borderId="0" xfId="2" applyNumberFormat="1" applyFont="1" applyFill="1" applyBorder="1"/>
    <xf numFmtId="10" fontId="12" fillId="5" borderId="1" xfId="2" applyNumberFormat="1" applyFont="1" applyFill="1" applyBorder="1" applyAlignment="1">
      <alignment horizontal="center"/>
    </xf>
    <xf numFmtId="169" fontId="12" fillId="0" borderId="1" xfId="0" applyNumberFormat="1" applyFont="1" applyBorder="1" applyAlignment="1">
      <alignment horizontal="center"/>
    </xf>
    <xf numFmtId="0" fontId="14" fillId="5" borderId="5" xfId="0" applyFont="1" applyFill="1" applyBorder="1"/>
    <xf numFmtId="0" fontId="12" fillId="5" borderId="6" xfId="0" applyFont="1" applyFill="1" applyBorder="1"/>
    <xf numFmtId="0" fontId="12" fillId="5" borderId="7" xfId="0" applyFont="1" applyFill="1" applyBorder="1"/>
    <xf numFmtId="0" fontId="14" fillId="5" borderId="8" xfId="0" applyFont="1" applyFill="1" applyBorder="1" applyAlignment="1">
      <alignment horizontal="left"/>
    </xf>
    <xf numFmtId="0" fontId="12" fillId="5" borderId="0" xfId="0" applyFont="1" applyFill="1"/>
    <xf numFmtId="166" fontId="12" fillId="5" borderId="0" xfId="0" applyNumberFormat="1" applyFont="1" applyFill="1" applyAlignment="1">
      <alignment horizontal="center"/>
    </xf>
    <xf numFmtId="0" fontId="12" fillId="5" borderId="10" xfId="0" applyFont="1" applyFill="1" applyBorder="1"/>
    <xf numFmtId="0" fontId="18" fillId="5" borderId="2" xfId="0" applyFont="1" applyFill="1" applyBorder="1" applyAlignment="1">
      <alignment horizontal="left"/>
    </xf>
    <xf numFmtId="0" fontId="12" fillId="5" borderId="3" xfId="0" applyFont="1" applyFill="1" applyBorder="1"/>
    <xf numFmtId="0" fontId="12" fillId="5" borderId="4" xfId="0" applyFont="1" applyFill="1" applyBorder="1"/>
    <xf numFmtId="0" fontId="12" fillId="5" borderId="5" xfId="0" applyFont="1" applyFill="1" applyBorder="1"/>
    <xf numFmtId="0" fontId="14" fillId="5" borderId="2" xfId="0" applyFont="1" applyFill="1" applyBorder="1"/>
    <xf numFmtId="0" fontId="14" fillId="5" borderId="27" xfId="0" applyFont="1" applyFill="1" applyBorder="1"/>
    <xf numFmtId="0" fontId="12" fillId="5" borderId="1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8" fillId="5" borderId="1" xfId="0" applyFont="1" applyFill="1" applyBorder="1" applyAlignment="1">
      <alignment horizontal="center"/>
    </xf>
    <xf numFmtId="0" fontId="18" fillId="5" borderId="14" xfId="0" applyFont="1" applyFill="1" applyBorder="1" applyAlignment="1">
      <alignment horizontal="center"/>
    </xf>
    <xf numFmtId="10" fontId="12" fillId="5" borderId="8" xfId="0" applyNumberFormat="1" applyFont="1" applyFill="1" applyBorder="1" applyAlignment="1">
      <alignment horizontal="center"/>
    </xf>
    <xf numFmtId="10" fontId="12" fillId="5" borderId="0" xfId="2" applyNumberFormat="1" applyFont="1" applyFill="1" applyBorder="1" applyAlignment="1">
      <alignment horizontal="center"/>
    </xf>
    <xf numFmtId="10" fontId="12" fillId="5" borderId="27" xfId="0" applyNumberFormat="1" applyFont="1" applyFill="1" applyBorder="1" applyAlignment="1">
      <alignment horizontal="center"/>
    </xf>
    <xf numFmtId="10" fontId="12" fillId="5" borderId="10" xfId="0" applyNumberFormat="1" applyFont="1" applyFill="1" applyBorder="1" applyAlignment="1">
      <alignment horizontal="center"/>
    </xf>
    <xf numFmtId="10" fontId="12" fillId="5" borderId="0" xfId="0" applyNumberFormat="1" applyFont="1" applyFill="1" applyAlignment="1">
      <alignment horizontal="center"/>
    </xf>
    <xf numFmtId="10" fontId="12" fillId="0" borderId="28" xfId="2" applyNumberFormat="1" applyFont="1" applyFill="1" applyBorder="1" applyAlignment="1">
      <alignment horizontal="center"/>
    </xf>
    <xf numFmtId="167" fontId="12" fillId="5" borderId="29" xfId="2" applyNumberFormat="1" applyFont="1" applyFill="1" applyBorder="1" applyAlignment="1">
      <alignment horizontal="center"/>
    </xf>
    <xf numFmtId="167" fontId="12" fillId="5" borderId="30" xfId="2" applyNumberFormat="1" applyFont="1" applyFill="1" applyBorder="1" applyAlignment="1">
      <alignment horizontal="center"/>
    </xf>
    <xf numFmtId="167" fontId="12" fillId="5" borderId="28" xfId="2" applyNumberFormat="1" applyFont="1" applyFill="1" applyBorder="1" applyAlignment="1">
      <alignment horizontal="center"/>
    </xf>
    <xf numFmtId="0" fontId="19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6" borderId="0" xfId="2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4" borderId="0" xfId="0" applyFill="1"/>
    <xf numFmtId="6" fontId="0" fillId="2" borderId="17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8" fontId="0" fillId="0" borderId="0" xfId="0" applyNumberFormat="1"/>
    <xf numFmtId="10" fontId="0" fillId="2" borderId="10" xfId="0" applyNumberFormat="1" applyFill="1" applyBorder="1" applyAlignment="1">
      <alignment horizontal="center"/>
    </xf>
    <xf numFmtId="10" fontId="0" fillId="2" borderId="4" xfId="0" applyNumberFormat="1" applyFill="1" applyBorder="1" applyAlignment="1">
      <alignment horizontal="center"/>
    </xf>
    <xf numFmtId="9" fontId="0" fillId="0" borderId="0" xfId="0" applyNumberFormat="1"/>
    <xf numFmtId="0" fontId="2" fillId="3" borderId="12" xfId="0" applyFont="1" applyFill="1" applyBorder="1"/>
    <xf numFmtId="7" fontId="0" fillId="0" borderId="0" xfId="0" applyNumberFormat="1"/>
    <xf numFmtId="0" fontId="22" fillId="0" borderId="0" xfId="0" applyFont="1"/>
    <xf numFmtId="6" fontId="0" fillId="7" borderId="0" xfId="0" applyNumberFormat="1" applyFill="1"/>
    <xf numFmtId="9" fontId="0" fillId="4" borderId="9" xfId="0" applyNumberFormat="1" applyFill="1" applyBorder="1"/>
    <xf numFmtId="0" fontId="19" fillId="4" borderId="0" xfId="0" applyFont="1" applyFill="1"/>
    <xf numFmtId="0" fontId="5" fillId="4" borderId="0" xfId="0" applyFont="1" applyFill="1"/>
    <xf numFmtId="0" fontId="24" fillId="4" borderId="0" xfId="0" quotePrefix="1" applyFont="1" applyFill="1"/>
    <xf numFmtId="0" fontId="6" fillId="4" borderId="0" xfId="0" applyFont="1" applyFill="1" applyAlignment="1">
      <alignment horizontal="center"/>
    </xf>
    <xf numFmtId="10" fontId="0" fillId="4" borderId="0" xfId="0" applyNumberFormat="1" applyFill="1"/>
    <xf numFmtId="0" fontId="5" fillId="0" borderId="0" xfId="0" applyFont="1"/>
    <xf numFmtId="0" fontId="25" fillId="0" borderId="0" xfId="0" applyFont="1" applyAlignment="1">
      <alignment horizontal="center"/>
    </xf>
    <xf numFmtId="10" fontId="12" fillId="0" borderId="0" xfId="2" applyNumberFormat="1" applyFont="1" applyAlignment="1">
      <alignment horizontal="center"/>
    </xf>
    <xf numFmtId="10" fontId="12" fillId="0" borderId="9" xfId="2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10" fontId="12" fillId="0" borderId="0" xfId="2" applyNumberFormat="1" applyFont="1" applyBorder="1" applyAlignment="1">
      <alignment horizontal="center"/>
    </xf>
    <xf numFmtId="167" fontId="12" fillId="7" borderId="1" xfId="2" applyNumberFormat="1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7" fontId="12" fillId="0" borderId="0" xfId="2" applyNumberFormat="1" applyFont="1"/>
    <xf numFmtId="168" fontId="0" fillId="0" borderId="8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10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0" fontId="12" fillId="0" borderId="0" xfId="2" applyNumberFormat="1" applyFont="1"/>
    <xf numFmtId="10" fontId="12" fillId="7" borderId="1" xfId="2" applyNumberFormat="1" applyFont="1" applyFill="1" applyBorder="1" applyAlignment="1">
      <alignment horizontal="center"/>
    </xf>
    <xf numFmtId="0" fontId="14" fillId="7" borderId="5" xfId="0" applyFont="1" applyFill="1" applyBorder="1"/>
    <xf numFmtId="0" fontId="12" fillId="7" borderId="6" xfId="0" applyFont="1" applyFill="1" applyBorder="1"/>
    <xf numFmtId="0" fontId="12" fillId="7" borderId="7" xfId="0" applyFont="1" applyFill="1" applyBorder="1"/>
    <xf numFmtId="0" fontId="14" fillId="7" borderId="8" xfId="0" applyFont="1" applyFill="1" applyBorder="1" applyAlignment="1">
      <alignment horizontal="left"/>
    </xf>
    <xf numFmtId="0" fontId="12" fillId="7" borderId="0" xfId="0" applyFont="1" applyFill="1"/>
    <xf numFmtId="166" fontId="12" fillId="7" borderId="0" xfId="0" applyNumberFormat="1" applyFont="1" applyFill="1" applyAlignment="1">
      <alignment horizontal="center"/>
    </xf>
    <xf numFmtId="0" fontId="12" fillId="7" borderId="10" xfId="0" applyFont="1" applyFill="1" applyBorder="1"/>
    <xf numFmtId="0" fontId="31" fillId="7" borderId="2" xfId="0" applyFont="1" applyFill="1" applyBorder="1" applyAlignment="1">
      <alignment horizontal="left"/>
    </xf>
    <xf numFmtId="0" fontId="12" fillId="7" borderId="3" xfId="0" applyFont="1" applyFill="1" applyBorder="1"/>
    <xf numFmtId="0" fontId="12" fillId="7" borderId="4" xfId="0" applyFont="1" applyFill="1" applyBorder="1"/>
    <xf numFmtId="0" fontId="12" fillId="7" borderId="5" xfId="0" applyFont="1" applyFill="1" applyBorder="1"/>
    <xf numFmtId="0" fontId="14" fillId="7" borderId="2" xfId="0" applyFont="1" applyFill="1" applyBorder="1"/>
    <xf numFmtId="0" fontId="14" fillId="7" borderId="27" xfId="0" applyFont="1" applyFill="1" applyBorder="1"/>
    <xf numFmtId="10" fontId="12" fillId="0" borderId="0" xfId="0" applyNumberFormat="1" applyFont="1"/>
    <xf numFmtId="0" fontId="12" fillId="7" borderId="31" xfId="0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/>
    </xf>
    <xf numFmtId="0" fontId="31" fillId="7" borderId="1" xfId="0" applyFont="1" applyFill="1" applyBorder="1" applyAlignment="1">
      <alignment horizontal="center"/>
    </xf>
    <xf numFmtId="0" fontId="31" fillId="7" borderId="14" xfId="0" applyFont="1" applyFill="1" applyBorder="1" applyAlignment="1">
      <alignment horizontal="center"/>
    </xf>
    <xf numFmtId="10" fontId="12" fillId="7" borderId="22" xfId="0" applyNumberFormat="1" applyFont="1" applyFill="1" applyBorder="1" applyAlignment="1">
      <alignment horizontal="center"/>
    </xf>
    <xf numFmtId="10" fontId="12" fillId="7" borderId="0" xfId="0" applyNumberFormat="1" applyFont="1" applyFill="1" applyAlignment="1">
      <alignment horizontal="center"/>
    </xf>
    <xf numFmtId="10" fontId="12" fillId="7" borderId="27" xfId="0" applyNumberFormat="1" applyFont="1" applyFill="1" applyBorder="1" applyAlignment="1">
      <alignment horizontal="center"/>
    </xf>
    <xf numFmtId="10" fontId="12" fillId="7" borderId="10" xfId="0" applyNumberFormat="1" applyFont="1" applyFill="1" applyBorder="1" applyAlignment="1">
      <alignment horizontal="center"/>
    </xf>
    <xf numFmtId="10" fontId="12" fillId="7" borderId="8" xfId="0" applyNumberFormat="1" applyFont="1" applyFill="1" applyBorder="1" applyAlignment="1">
      <alignment horizontal="center"/>
    </xf>
    <xf numFmtId="0" fontId="12" fillId="8" borderId="0" xfId="0" applyFont="1" applyFill="1"/>
    <xf numFmtId="9" fontId="12" fillId="8" borderId="0" xfId="0" applyNumberFormat="1" applyFont="1" applyFill="1"/>
    <xf numFmtId="2" fontId="12" fillId="8" borderId="0" xfId="0" applyNumberFormat="1" applyFont="1" applyFill="1"/>
    <xf numFmtId="0" fontId="0" fillId="4" borderId="0" xfId="0" applyFill="1" applyAlignment="1">
      <alignment horizontal="center"/>
    </xf>
    <xf numFmtId="0" fontId="32" fillId="9" borderId="0" xfId="0" applyFont="1" applyFill="1" applyAlignment="1">
      <alignment horizontal="center"/>
    </xf>
    <xf numFmtId="6" fontId="0" fillId="4" borderId="0" xfId="0" applyNumberFormat="1" applyFill="1" applyAlignment="1">
      <alignment horizontal="center"/>
    </xf>
    <xf numFmtId="8" fontId="0" fillId="4" borderId="0" xfId="0" applyNumberFormat="1" applyFill="1" applyAlignment="1">
      <alignment horizontal="center"/>
    </xf>
    <xf numFmtId="173" fontId="0" fillId="4" borderId="0" xfId="0" applyNumberForma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0" fontId="0" fillId="4" borderId="0" xfId="2" applyNumberFormat="1" applyFont="1" applyFill="1"/>
    <xf numFmtId="10" fontId="0" fillId="4" borderId="0" xfId="2" applyNumberFormat="1" applyFont="1" applyFill="1" applyAlignment="1">
      <alignment horizontal="center"/>
    </xf>
    <xf numFmtId="0" fontId="0" fillId="4" borderId="24" xfId="0" applyFill="1" applyBorder="1"/>
    <xf numFmtId="0" fontId="0" fillId="4" borderId="24" xfId="0" applyFill="1" applyBorder="1" applyAlignment="1">
      <alignment horizontal="center"/>
    </xf>
    <xf numFmtId="10" fontId="0" fillId="4" borderId="24" xfId="2" applyNumberFormat="1" applyFon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2" fillId="4" borderId="0" xfId="0" applyFont="1" applyFill="1"/>
  </cellXfs>
  <cellStyles count="1013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</a:t>
            </a:r>
          </a:p>
        </c:rich>
      </c:tx>
      <c:layout>
        <c:manualLayout>
          <c:xMode val="edge"/>
          <c:yMode val="edge"/>
          <c:x val="0.36876057159521874"/>
          <c:y val="2.9661016949152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03084904458687"/>
          <c:y val="0.1843222245785725"/>
          <c:w val="0.78260992635669535"/>
          <c:h val="0.67161086426905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'[1]MVO - Efficient Frontier'!$M$32</c:f>
              <c:strCache>
                <c:ptCount val="1"/>
                <c:pt idx="0">
                  <c:v>Port Mean</c:v>
                </c:pt>
              </c:strCache>
            </c:strRef>
          </c:tx>
          <c:spPr>
            <a:ln w="19050">
              <a:noFill/>
            </a:ln>
          </c:spPr>
          <c:xVal>
            <c:numRef>
              <c:f>'[1]MVO - Efficient Frontier'!$L$33:$L$43</c:f>
              <c:numCache>
                <c:formatCode>General</c:formatCode>
                <c:ptCount val="11"/>
                <c:pt idx="0">
                  <c:v>0.16012762683288576</c:v>
                </c:pt>
                <c:pt idx="1">
                  <c:v>0.14077262426233478</c:v>
                </c:pt>
                <c:pt idx="2">
                  <c:v>0.13156727156789855</c:v>
                </c:pt>
                <c:pt idx="3">
                  <c:v>0.12659929846378357</c:v>
                </c:pt>
                <c:pt idx="4">
                  <c:v>0.12584672282440945</c:v>
                </c:pt>
                <c:pt idx="5">
                  <c:v>0.13005478808246732</c:v>
                </c:pt>
                <c:pt idx="6">
                  <c:v>0.13964670961866857</c:v>
                </c:pt>
                <c:pt idx="7">
                  <c:v>0.15455417097486712</c:v>
                </c:pt>
                <c:pt idx="8">
                  <c:v>0.17385596018287403</c:v>
                </c:pt>
                <c:pt idx="9">
                  <c:v>0.20363666059068183</c:v>
                </c:pt>
                <c:pt idx="10">
                  <c:v>0.24270022413824144</c:v>
                </c:pt>
              </c:numCache>
            </c:numRef>
          </c:xVal>
          <c:yVal>
            <c:numRef>
              <c:f>'[1]MVO - Efficient Frontier'!$M$33:$M$43</c:f>
              <c:numCache>
                <c:formatCode>General</c:formatCode>
                <c:ptCount val="11"/>
                <c:pt idx="0">
                  <c:v>0.12</c:v>
                </c:pt>
                <c:pt idx="1">
                  <c:v>0.14000000000000001</c:v>
                </c:pt>
                <c:pt idx="2">
                  <c:v>0.16</c:v>
                </c:pt>
                <c:pt idx="3">
                  <c:v>0.18</c:v>
                </c:pt>
                <c:pt idx="4">
                  <c:v>0.2</c:v>
                </c:pt>
                <c:pt idx="5">
                  <c:v>0.22</c:v>
                </c:pt>
                <c:pt idx="6">
                  <c:v>0.24</c:v>
                </c:pt>
                <c:pt idx="7">
                  <c:v>0.26</c:v>
                </c:pt>
                <c:pt idx="8">
                  <c:v>0.28000000000000003</c:v>
                </c:pt>
                <c:pt idx="9">
                  <c:v>0.3</c:v>
                </c:pt>
                <c:pt idx="1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C-3941-B2EB-C05E6DF85C88}"/>
            </c:ext>
          </c:extLst>
        </c:ser>
        <c:ser>
          <c:idx val="1"/>
          <c:order val="1"/>
          <c:tx>
            <c:v>My Portfolio</c:v>
          </c:tx>
          <c:spPr>
            <a:ln w="19050">
              <a:noFill/>
            </a:ln>
          </c:spPr>
          <c:xVal>
            <c:numRef>
              <c:f>'[1]MVO - Efficient Frontier'!$N$5</c:f>
              <c:numCache>
                <c:formatCode>General</c:formatCode>
                <c:ptCount val="1"/>
                <c:pt idx="0">
                  <c:v>0.1636</c:v>
                </c:pt>
              </c:numCache>
            </c:numRef>
          </c:xVal>
          <c:yVal>
            <c:numRef>
              <c:f>'[1]MVO - Efficient Frontier'!$N$3</c:f>
              <c:numCache>
                <c:formatCode>General</c:formatCode>
                <c:ptCount val="1"/>
                <c:pt idx="0">
                  <c:v>0.2069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9C-3941-B2EB-C05E6DF85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79872"/>
        <c:axId val="246081792"/>
      </c:scatterChart>
      <c:valAx>
        <c:axId val="246079872"/>
        <c:scaling>
          <c:orientation val="minMax"/>
          <c:max val="0.3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42995236706523005"/>
              <c:y val="0.913136482939631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081792"/>
        <c:crosses val="autoZero"/>
        <c:crossBetween val="midCat"/>
      </c:valAx>
      <c:valAx>
        <c:axId val="246081792"/>
        <c:scaling>
          <c:orientation val="minMax"/>
          <c:max val="0.40369309146527899"/>
          <c:min val="6.000000000000001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Portfolio Mean</a:t>
                </a:r>
              </a:p>
            </c:rich>
          </c:tx>
          <c:layout>
            <c:manualLayout>
              <c:xMode val="edge"/>
              <c:yMode val="edge"/>
              <c:x val="2.7375201288244926E-2"/>
              <c:y val="0.396186885537616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0798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B1EC691A-D171-0449-907C-C2AEE8C184F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Lognormal - Future Values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Lognormal - Future Values</a:t>
          </a:r>
        </a:p>
      </cx:txPr>
    </cx:title>
    <cx:plotArea>
      <cx:plotAreaRegion>
        <cx:series layoutId="clusteredColumn" uniqueId="{5AFD269A-D3D9-E940-BC46-005792C01F7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6" fmlaLink="C5" max="30000" page="10" val="70"/>
</file>

<file path=xl/ctrlProps/ctrlProp3.xml><?xml version="1.0" encoding="utf-8"?>
<formControlPr xmlns="http://schemas.microsoft.com/office/spreadsheetml/2009/9/main" objectType="Spin" dx="0" inc="0" max="0" page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2</xdr:row>
          <xdr:rowOff>139700</xdr:rowOff>
        </xdr:from>
        <xdr:to>
          <xdr:col>3</xdr:col>
          <xdr:colOff>431800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88900</xdr:rowOff>
        </xdr:from>
        <xdr:to>
          <xdr:col>1</xdr:col>
          <xdr:colOff>495300</xdr:colOff>
          <xdr:row>4</xdr:row>
          <xdr:rowOff>482600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5</xdr:row>
          <xdr:rowOff>88900</xdr:rowOff>
        </xdr:from>
        <xdr:to>
          <xdr:col>1</xdr:col>
          <xdr:colOff>508000</xdr:colOff>
          <xdr:row>5</xdr:row>
          <xdr:rowOff>482600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29</xdr:row>
          <xdr:rowOff>139700</xdr:rowOff>
        </xdr:from>
        <xdr:to>
          <xdr:col>11</xdr:col>
          <xdr:colOff>342900</xdr:colOff>
          <xdr:row>31</xdr:row>
          <xdr:rowOff>139700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326F2821-23DE-28A0-44E9-D609EB511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</xdr:row>
      <xdr:rowOff>0</xdr:rowOff>
    </xdr:from>
    <xdr:to>
      <xdr:col>24</xdr:col>
      <xdr:colOff>689552</xdr:colOff>
      <xdr:row>29</xdr:row>
      <xdr:rowOff>163176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E902B1-131A-AC4F-ABA0-B49C43FB4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10</xdr:row>
          <xdr:rowOff>177800</xdr:rowOff>
        </xdr:from>
        <xdr:to>
          <xdr:col>6</xdr:col>
          <xdr:colOff>457200</xdr:colOff>
          <xdr:row>14</xdr:row>
          <xdr:rowOff>101600</xdr:rowOff>
        </xdr:to>
        <xdr:sp macro="" textlink="">
          <xdr:nvSpPr>
            <xdr:cNvPr id="6147" name="Object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10</xdr:row>
          <xdr:rowOff>177800</xdr:rowOff>
        </xdr:from>
        <xdr:to>
          <xdr:col>10</xdr:col>
          <xdr:colOff>368300</xdr:colOff>
          <xdr:row>12</xdr:row>
          <xdr:rowOff>139700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FV_Volatility_PMT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8</xdr:row>
      <xdr:rowOff>120650</xdr:rowOff>
    </xdr:from>
    <xdr:to>
      <xdr:col>11</xdr:col>
      <xdr:colOff>57150</xdr:colOff>
      <xdr:row>23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9950" y="16700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76200</xdr:rowOff>
        </xdr:from>
        <xdr:to>
          <xdr:col>9</xdr:col>
          <xdr:colOff>88900</xdr:colOff>
          <xdr:row>11</xdr:row>
          <xdr:rowOff>50800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895350</xdr:colOff>
      <xdr:row>0</xdr:row>
      <xdr:rowOff>171450</xdr:rowOff>
    </xdr:from>
    <xdr:to>
      <xdr:col>15</xdr:col>
      <xdr:colOff>641350</xdr:colOff>
      <xdr:row>14</xdr:row>
      <xdr:rowOff>158750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5050" y="171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donaldson/Desktop/MVO%20Efficient%20Frontier%20Solution%202023.xlsx" TargetMode="External"/><Relationship Id="rId1" Type="http://schemas.openxmlformats.org/officeDocument/2006/relationships/externalLinkPath" Target="/Users/jdonaldson/Desktop/MVO%20Efficient%20Frontier%20Solution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 Data"/>
      <sheetName val="MVO - Efficient Frontier"/>
      <sheetName val="MVO Graph"/>
    </sheetNames>
    <sheetDataSet>
      <sheetData sheetId="0">
        <row r="5">
          <cell r="O5">
            <v>6.2683290797696575E-3</v>
          </cell>
          <cell r="P5">
            <v>2.1650927388637171E-3</v>
          </cell>
          <cell r="Q5">
            <v>1.9005460802967986E-3</v>
          </cell>
          <cell r="R5">
            <v>7.352241649115082E-4</v>
          </cell>
          <cell r="S5">
            <v>2.4860193597258809E-3</v>
          </cell>
          <cell r="T5">
            <v>2.5490705634767879E-3</v>
          </cell>
          <cell r="U5">
            <v>2.4429230555979937E-3</v>
          </cell>
          <cell r="V5">
            <v>1.9782211926449716E-3</v>
          </cell>
          <cell r="W5">
            <v>1.3409444858748349E-3</v>
          </cell>
          <cell r="X5">
            <v>2.1984750866270043E-3</v>
          </cell>
        </row>
        <row r="6">
          <cell r="O6">
            <v>2.1650927388637171E-3</v>
          </cell>
          <cell r="P6">
            <v>8.2645701882605033E-3</v>
          </cell>
          <cell r="Q6">
            <v>2.1395625579529762E-3</v>
          </cell>
          <cell r="R6">
            <v>5.9013111714134082E-4</v>
          </cell>
          <cell r="S6">
            <v>4.257128869033391E-3</v>
          </cell>
          <cell r="T6">
            <v>1.3094800839135588E-3</v>
          </cell>
          <cell r="U6">
            <v>3.4605155459660128E-3</v>
          </cell>
          <cell r="V6">
            <v>1.8259397396344329E-3</v>
          </cell>
          <cell r="W6">
            <v>2.1653216274736243E-3</v>
          </cell>
          <cell r="X6">
            <v>1.2973233748085086E-3</v>
          </cell>
        </row>
        <row r="7">
          <cell r="O7">
            <v>1.9005460802967986E-3</v>
          </cell>
          <cell r="P7">
            <v>2.1395625579529762E-3</v>
          </cell>
          <cell r="Q7">
            <v>4.6250980753990926E-3</v>
          </cell>
          <cell r="R7">
            <v>7.4802784839446098E-4</v>
          </cell>
          <cell r="S7">
            <v>2.4355441713720741E-3</v>
          </cell>
          <cell r="T7">
            <v>1.516323149896869E-3</v>
          </cell>
          <cell r="U7">
            <v>3.2823530966486405E-3</v>
          </cell>
          <cell r="V7">
            <v>1.8531030278038285E-3</v>
          </cell>
          <cell r="W7">
            <v>1.7526183224188161E-3</v>
          </cell>
          <cell r="X7">
            <v>1.6172431429895143E-3</v>
          </cell>
        </row>
        <row r="8">
          <cell r="O8">
            <v>7.352241649115082E-4</v>
          </cell>
          <cell r="P8">
            <v>5.9013111714134082E-4</v>
          </cell>
          <cell r="Q8">
            <v>7.4802784839446098E-4</v>
          </cell>
          <cell r="R8">
            <v>2.4007774305636847E-3</v>
          </cell>
          <cell r="S8">
            <v>1.2862228983740083E-3</v>
          </cell>
          <cell r="T8">
            <v>5.23521298312805E-4</v>
          </cell>
          <cell r="U8">
            <v>4.377883591299996E-4</v>
          </cell>
          <cell r="V8">
            <v>2.7728847233448348E-4</v>
          </cell>
          <cell r="W8">
            <v>5.9103622869282485E-4</v>
          </cell>
          <cell r="X8">
            <v>3.2422959257236513E-4</v>
          </cell>
        </row>
        <row r="9">
          <cell r="O9">
            <v>2.4860193597258809E-3</v>
          </cell>
          <cell r="P9">
            <v>4.257128869033391E-3</v>
          </cell>
          <cell r="Q9">
            <v>2.4355441713720741E-3</v>
          </cell>
          <cell r="R9">
            <v>1.2862228983740083E-3</v>
          </cell>
          <cell r="S9">
            <v>1.2840680682707783E-2</v>
          </cell>
          <cell r="T9">
            <v>2.3799851134190452E-3</v>
          </cell>
          <cell r="U9">
            <v>3.8282456599321927E-3</v>
          </cell>
          <cell r="V9">
            <v>1.621922063150072E-3</v>
          </cell>
          <cell r="W9">
            <v>2.5563997286600815E-3</v>
          </cell>
          <cell r="X9">
            <v>1.9526734298192675E-3</v>
          </cell>
        </row>
        <row r="10">
          <cell r="O10">
            <v>2.5490705634767879E-3</v>
          </cell>
          <cell r="P10">
            <v>1.3094800839135588E-3</v>
          </cell>
          <cell r="Q10">
            <v>1.516323149896869E-3</v>
          </cell>
          <cell r="R10">
            <v>5.23521298312805E-4</v>
          </cell>
          <cell r="S10">
            <v>2.3799851134190452E-3</v>
          </cell>
          <cell r="T10">
            <v>6.5183542133270675E-3</v>
          </cell>
          <cell r="U10">
            <v>1.8019645950742588E-3</v>
          </cell>
          <cell r="V10">
            <v>2.4402518277329751E-3</v>
          </cell>
          <cell r="W10">
            <v>1.6845748959359846E-3</v>
          </cell>
          <cell r="X10">
            <v>2.1806290709190201E-3</v>
          </cell>
        </row>
        <row r="11">
          <cell r="O11">
            <v>2.4429230555979937E-3</v>
          </cell>
          <cell r="P11">
            <v>3.4605155459660128E-3</v>
          </cell>
          <cell r="Q11">
            <v>3.2823530966486405E-3</v>
          </cell>
          <cell r="R11">
            <v>4.377883591299996E-4</v>
          </cell>
          <cell r="S11">
            <v>3.8282456599321927E-3</v>
          </cell>
          <cell r="T11">
            <v>1.8019645950742588E-3</v>
          </cell>
          <cell r="U11">
            <v>7.0062225023223334E-3</v>
          </cell>
          <cell r="V11">
            <v>1.9688325558045766E-3</v>
          </cell>
          <cell r="W11">
            <v>2.0984723685752616E-3</v>
          </cell>
          <cell r="X11">
            <v>1.9719049374985233E-3</v>
          </cell>
        </row>
        <row r="12">
          <cell r="O12">
            <v>1.9782211926449716E-3</v>
          </cell>
          <cell r="P12">
            <v>1.8259397396344329E-3</v>
          </cell>
          <cell r="Q12">
            <v>1.8531030278038285E-3</v>
          </cell>
          <cell r="R12">
            <v>2.7728847233448348E-4</v>
          </cell>
          <cell r="S12">
            <v>1.621922063150072E-3</v>
          </cell>
          <cell r="T12">
            <v>2.4402518277329751E-3</v>
          </cell>
          <cell r="U12">
            <v>1.9688325558045766E-3</v>
          </cell>
          <cell r="V12">
            <v>4.2074694931787697E-3</v>
          </cell>
          <cell r="W12">
            <v>1.6445330408414545E-3</v>
          </cell>
          <cell r="X12">
            <v>1.6715541657578198E-3</v>
          </cell>
        </row>
        <row r="13">
          <cell r="O13">
            <v>1.3409444858748349E-3</v>
          </cell>
          <cell r="P13">
            <v>2.1653216274736243E-3</v>
          </cell>
          <cell r="Q13">
            <v>1.7526183224188161E-3</v>
          </cell>
          <cell r="R13">
            <v>5.9103622869282485E-4</v>
          </cell>
          <cell r="S13">
            <v>2.5563997286600815E-3</v>
          </cell>
          <cell r="T13">
            <v>1.6845748959359846E-3</v>
          </cell>
          <cell r="U13">
            <v>2.0984723685752616E-3</v>
          </cell>
          <cell r="V13">
            <v>1.6445330408414545E-3</v>
          </cell>
          <cell r="W13">
            <v>2.8819913152720888E-3</v>
          </cell>
          <cell r="X13">
            <v>1.1164580462526329E-3</v>
          </cell>
        </row>
        <row r="14">
          <cell r="O14">
            <v>2.1984750866270043E-3</v>
          </cell>
          <cell r="P14">
            <v>1.2973233748085086E-3</v>
          </cell>
          <cell r="Q14">
            <v>1.6172431429895143E-3</v>
          </cell>
          <cell r="R14">
            <v>3.2422959257236513E-4</v>
          </cell>
          <cell r="S14">
            <v>1.9526734298192675E-3</v>
          </cell>
          <cell r="T14">
            <v>2.1806290709190201E-3</v>
          </cell>
          <cell r="U14">
            <v>1.9719049374985233E-3</v>
          </cell>
          <cell r="V14">
            <v>1.6715541657578198E-3</v>
          </cell>
          <cell r="W14">
            <v>1.1164580462526329E-3</v>
          </cell>
          <cell r="X14">
            <v>3.3509278306506768E-3</v>
          </cell>
        </row>
      </sheetData>
      <sheetData sheetId="1">
        <row r="3">
          <cell r="N3">
            <v>0.2069</v>
          </cell>
        </row>
        <row r="5">
          <cell r="N5">
            <v>0.1636</v>
          </cell>
        </row>
        <row r="32">
          <cell r="M32" t="str">
            <v>Port Mean</v>
          </cell>
        </row>
        <row r="33">
          <cell r="L33">
            <v>0.16012762683288576</v>
          </cell>
          <cell r="M33">
            <v>0.12</v>
          </cell>
        </row>
        <row r="34">
          <cell r="L34">
            <v>0.14077262426233478</v>
          </cell>
          <cell r="M34">
            <v>0.14000000000000001</v>
          </cell>
        </row>
        <row r="35">
          <cell r="L35">
            <v>0.13156727156789855</v>
          </cell>
          <cell r="M35">
            <v>0.16</v>
          </cell>
        </row>
        <row r="36">
          <cell r="L36">
            <v>0.12659929846378357</v>
          </cell>
          <cell r="M36">
            <v>0.18</v>
          </cell>
        </row>
        <row r="37">
          <cell r="L37">
            <v>0.12584672282440945</v>
          </cell>
          <cell r="M37">
            <v>0.2</v>
          </cell>
        </row>
        <row r="38">
          <cell r="L38">
            <v>0.13005478808246732</v>
          </cell>
          <cell r="M38">
            <v>0.22</v>
          </cell>
        </row>
        <row r="39">
          <cell r="L39">
            <v>0.13964670961866857</v>
          </cell>
          <cell r="M39">
            <v>0.24</v>
          </cell>
        </row>
        <row r="40">
          <cell r="L40">
            <v>0.15455417097486712</v>
          </cell>
          <cell r="M40">
            <v>0.26</v>
          </cell>
        </row>
        <row r="41">
          <cell r="L41">
            <v>0.17385596018287403</v>
          </cell>
          <cell r="M41">
            <v>0.28000000000000003</v>
          </cell>
        </row>
        <row r="42">
          <cell r="L42">
            <v>0.20363666059068183</v>
          </cell>
          <cell r="M42">
            <v>0.3</v>
          </cell>
        </row>
        <row r="43">
          <cell r="L43">
            <v>0.24270022413824144</v>
          </cell>
          <cell r="M43">
            <v>0.32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"/>
  <sheetViews>
    <sheetView workbookViewId="0"/>
  </sheetViews>
  <sheetFormatPr baseColWidth="10" defaultColWidth="8.83203125" defaultRowHeight="15" x14ac:dyDescent="0.2"/>
  <sheetData>
    <row r="1" spans="1:11" x14ac:dyDescent="0.2">
      <c r="A1">
        <f ca="1">RAND()</f>
        <v>0.42995913069556702</v>
      </c>
      <c r="B1" s="1" t="s">
        <v>0</v>
      </c>
      <c r="E1">
        <f ca="1">RANDBETWEEN(1,10)</f>
        <v>9</v>
      </c>
      <c r="F1" s="1" t="s">
        <v>1</v>
      </c>
      <c r="I1">
        <f ca="1">RANDBETWEEN(1,100)</f>
        <v>90</v>
      </c>
      <c r="J1">
        <f ca="1">RAND()*100</f>
        <v>20.124228646384957</v>
      </c>
      <c r="K1" s="2" t="s">
        <v>2</v>
      </c>
    </row>
    <row r="2" spans="1:11" x14ac:dyDescent="0.2">
      <c r="A2">
        <f t="shared" ref="A2:A10" ca="1" si="0">RAND()</f>
        <v>0.14466591193823297</v>
      </c>
      <c r="E2">
        <f t="shared" ref="E2:E10" ca="1" si="1">RANDBETWEEN(1,10)</f>
        <v>2</v>
      </c>
      <c r="I2">
        <f t="shared" ref="I2:I10" ca="1" si="2">RANDBETWEEN(1,100)</f>
        <v>87</v>
      </c>
      <c r="J2">
        <f t="shared" ref="J2:J10" ca="1" si="3">RAND()*100</f>
        <v>44.666146960782086</v>
      </c>
      <c r="K2" s="2" t="s">
        <v>3</v>
      </c>
    </row>
    <row r="3" spans="1:11" x14ac:dyDescent="0.2">
      <c r="A3">
        <f t="shared" ca="1" si="0"/>
        <v>0.56946332457217441</v>
      </c>
      <c r="E3">
        <f t="shared" ca="1" si="1"/>
        <v>8</v>
      </c>
      <c r="I3">
        <f t="shared" ca="1" si="2"/>
        <v>15</v>
      </c>
      <c r="J3">
        <f t="shared" ca="1" si="3"/>
        <v>29.663346197938601</v>
      </c>
    </row>
    <row r="4" spans="1:11" x14ac:dyDescent="0.2">
      <c r="A4">
        <f t="shared" ca="1" si="0"/>
        <v>0.83320837955369131</v>
      </c>
      <c r="E4">
        <f t="shared" ca="1" si="1"/>
        <v>10</v>
      </c>
      <c r="I4">
        <f t="shared" ca="1" si="2"/>
        <v>61</v>
      </c>
      <c r="J4">
        <f t="shared" ca="1" si="3"/>
        <v>94.600658761897677</v>
      </c>
    </row>
    <row r="5" spans="1:11" x14ac:dyDescent="0.2">
      <c r="A5">
        <f t="shared" ca="1" si="0"/>
        <v>0.32314829229078512</v>
      </c>
      <c r="E5">
        <f t="shared" ca="1" si="1"/>
        <v>6</v>
      </c>
      <c r="I5">
        <f t="shared" ca="1" si="2"/>
        <v>19</v>
      </c>
      <c r="J5">
        <f t="shared" ca="1" si="3"/>
        <v>85.192420622221945</v>
      </c>
    </row>
    <row r="6" spans="1:11" x14ac:dyDescent="0.2">
      <c r="A6">
        <f t="shared" ca="1" si="0"/>
        <v>0.32306486008102842</v>
      </c>
      <c r="E6">
        <f t="shared" ca="1" si="1"/>
        <v>9</v>
      </c>
      <c r="I6">
        <f t="shared" ca="1" si="2"/>
        <v>55</v>
      </c>
      <c r="J6">
        <f t="shared" ca="1" si="3"/>
        <v>65.622458093652313</v>
      </c>
    </row>
    <row r="7" spans="1:11" x14ac:dyDescent="0.2">
      <c r="A7">
        <f t="shared" ca="1" si="0"/>
        <v>0.18652814006026752</v>
      </c>
      <c r="E7">
        <f t="shared" ca="1" si="1"/>
        <v>9</v>
      </c>
      <c r="I7">
        <f t="shared" ca="1" si="2"/>
        <v>2</v>
      </c>
      <c r="J7">
        <f t="shared" ca="1" si="3"/>
        <v>96.125495132321547</v>
      </c>
    </row>
    <row r="8" spans="1:11" x14ac:dyDescent="0.2">
      <c r="A8">
        <f t="shared" ca="1" si="0"/>
        <v>0.81085776832588452</v>
      </c>
      <c r="E8">
        <f t="shared" ca="1" si="1"/>
        <v>5</v>
      </c>
      <c r="I8">
        <f t="shared" ca="1" si="2"/>
        <v>20</v>
      </c>
      <c r="J8">
        <f t="shared" ca="1" si="3"/>
        <v>7.5657020209496491</v>
      </c>
    </row>
    <row r="9" spans="1:11" x14ac:dyDescent="0.2">
      <c r="A9">
        <f t="shared" ca="1" si="0"/>
        <v>0.34721725462787933</v>
      </c>
      <c r="E9">
        <f t="shared" ca="1" si="1"/>
        <v>8</v>
      </c>
      <c r="I9">
        <f t="shared" ca="1" si="2"/>
        <v>12</v>
      </c>
      <c r="J9">
        <f t="shared" ca="1" si="3"/>
        <v>73.870654333765856</v>
      </c>
    </row>
    <row r="10" spans="1:11" x14ac:dyDescent="0.2">
      <c r="A10">
        <f t="shared" ca="1" si="0"/>
        <v>0.76908803861821307</v>
      </c>
      <c r="E10">
        <f t="shared" ca="1" si="1"/>
        <v>2</v>
      </c>
      <c r="I10">
        <f t="shared" ca="1" si="2"/>
        <v>2</v>
      </c>
      <c r="J10">
        <f t="shared" ca="1" si="3"/>
        <v>79.632724179409323</v>
      </c>
    </row>
  </sheetData>
  <pageMargins left="0.7" right="0.7" top="0.75" bottom="0.75" header="0.3" footer="0.3"/>
  <pageSetup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andomNumbers">
                <anchor moveWithCells="1" sizeWithCells="1">
                  <from>
                    <xdr:col>1</xdr:col>
                    <xdr:colOff>406400</xdr:colOff>
                    <xdr:row>2</xdr:row>
                    <xdr:rowOff>139700</xdr:rowOff>
                  </from>
                  <to>
                    <xdr:col>3</xdr:col>
                    <xdr:colOff>431800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G6"/>
  <sheetViews>
    <sheetView workbookViewId="0">
      <selection activeCell="A2" sqref="A2"/>
    </sheetView>
  </sheetViews>
  <sheetFormatPr baseColWidth="10" defaultColWidth="11.5" defaultRowHeight="15" x14ac:dyDescent="0.2"/>
  <cols>
    <col min="2" max="2" width="10.83203125" style="3" customWidth="1"/>
    <col min="3" max="7" width="10.83203125" style="3"/>
  </cols>
  <sheetData>
    <row r="1" spans="1:7" ht="19" x14ac:dyDescent="0.25">
      <c r="A1" s="39" t="s">
        <v>76</v>
      </c>
    </row>
    <row r="3" spans="1:7" ht="16" x14ac:dyDescent="0.2">
      <c r="A3" s="103" t="s">
        <v>73</v>
      </c>
    </row>
    <row r="5" spans="1:7" s="104" customFormat="1" ht="43" customHeight="1" x14ac:dyDescent="0.2">
      <c r="A5" s="104" t="s">
        <v>74</v>
      </c>
      <c r="B5" s="105"/>
      <c r="C5" s="107">
        <v>70</v>
      </c>
      <c r="D5" s="105"/>
      <c r="E5" s="105"/>
      <c r="F5" s="105"/>
      <c r="G5" s="105"/>
    </row>
    <row r="6" spans="1:7" ht="41" customHeight="1" x14ac:dyDescent="0.2">
      <c r="A6" s="105" t="s">
        <v>75</v>
      </c>
      <c r="C6" s="106">
        <v>0.2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1</xdr:col>
                    <xdr:colOff>228600</xdr:colOff>
                    <xdr:row>4</xdr:row>
                    <xdr:rowOff>88900</xdr:rowOff>
                  </from>
                  <to>
                    <xdr:col>1</xdr:col>
                    <xdr:colOff>495300</xdr:colOff>
                    <xdr:row>4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Spinner 3">
              <controlPr defaultSize="0" autoPict="0">
                <anchor moveWithCells="1" sizeWithCells="1">
                  <from>
                    <xdr:col>1</xdr:col>
                    <xdr:colOff>241300</xdr:colOff>
                    <xdr:row>5</xdr:row>
                    <xdr:rowOff>88900</xdr:rowOff>
                  </from>
                  <to>
                    <xdr:col>1</xdr:col>
                    <xdr:colOff>508000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C01C3-DA78-7A43-BE2F-C066DC4084AB}">
  <sheetPr codeName="Sheet9"/>
  <dimension ref="B3:E10"/>
  <sheetViews>
    <sheetView tabSelected="1" workbookViewId="0">
      <selection activeCell="I17" sqref="I17"/>
    </sheetView>
  </sheetViews>
  <sheetFormatPr baseColWidth="10" defaultRowHeight="15" x14ac:dyDescent="0.2"/>
  <cols>
    <col min="1" max="1" width="10.83203125" style="108"/>
    <col min="2" max="3" width="10.83203125" style="171"/>
    <col min="4" max="4" width="12.83203125" style="171" customWidth="1"/>
    <col min="5" max="5" width="14" style="171" customWidth="1"/>
    <col min="6" max="16384" width="10.83203125" style="108"/>
  </cols>
  <sheetData>
    <row r="3" spans="2:5" x14ac:dyDescent="0.2">
      <c r="B3" s="172" t="s">
        <v>125</v>
      </c>
      <c r="C3" s="172" t="s">
        <v>126</v>
      </c>
      <c r="D3" s="172" t="s">
        <v>127</v>
      </c>
      <c r="E3" s="172" t="s">
        <v>128</v>
      </c>
    </row>
    <row r="4" spans="2:5" x14ac:dyDescent="0.2">
      <c r="B4" s="173">
        <v>800</v>
      </c>
      <c r="C4" s="174">
        <v>921.58</v>
      </c>
      <c r="D4" s="171" t="str">
        <f>IF(C4&gt;B4,"Over Budget","Within Budget")</f>
        <v>Over Budget</v>
      </c>
      <c r="E4" s="175">
        <f>IF(C4&gt;B4,C4-B4,0)</f>
        <v>121.58000000000004</v>
      </c>
    </row>
    <row r="5" spans="2:5" x14ac:dyDescent="0.2">
      <c r="B5" s="173">
        <v>375</v>
      </c>
      <c r="C5" s="174">
        <v>324.98</v>
      </c>
      <c r="D5" s="171" t="str">
        <f t="shared" ref="D5:D7" si="0">IF(C5&gt;B5,"Over Budget","Within Budget")</f>
        <v>Within Budget</v>
      </c>
      <c r="E5" s="175">
        <f t="shared" ref="E5:E7" si="1">IF(C5&gt;B5,C5-B5,0)</f>
        <v>0</v>
      </c>
    </row>
    <row r="6" spans="2:5" x14ac:dyDescent="0.2">
      <c r="B6" s="173">
        <v>150</v>
      </c>
      <c r="C6" s="174">
        <v>128.43</v>
      </c>
      <c r="D6" s="171" t="str">
        <f t="shared" si="0"/>
        <v>Within Budget</v>
      </c>
      <c r="E6" s="175">
        <f t="shared" si="1"/>
        <v>0</v>
      </c>
    </row>
    <row r="7" spans="2:5" x14ac:dyDescent="0.2">
      <c r="B7" s="173">
        <v>150</v>
      </c>
      <c r="C7" s="174">
        <v>174.38</v>
      </c>
      <c r="D7" s="171" t="str">
        <f t="shared" si="0"/>
        <v>Over Budget</v>
      </c>
      <c r="E7" s="175">
        <f t="shared" si="1"/>
        <v>24.379999999999995</v>
      </c>
    </row>
    <row r="9" spans="2:5" x14ac:dyDescent="0.2">
      <c r="B9" s="184">
        <v>1</v>
      </c>
      <c r="C9" s="176" t="s">
        <v>1137</v>
      </c>
    </row>
    <row r="10" spans="2:5" x14ac:dyDescent="0.2">
      <c r="B10" s="184">
        <v>2</v>
      </c>
      <c r="C10" s="176" t="s">
        <v>1138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2F185-F526-2148-A233-7B05F527A74F}">
  <sheetPr codeName="Sheet10"/>
  <dimension ref="A1:H503"/>
  <sheetViews>
    <sheetView workbookViewId="0"/>
  </sheetViews>
  <sheetFormatPr baseColWidth="10" defaultColWidth="8.83203125" defaultRowHeight="15" x14ac:dyDescent="0.2"/>
  <cols>
    <col min="1" max="1" width="8.83203125" style="108"/>
    <col min="2" max="2" width="30.6640625" style="108" customWidth="1"/>
    <col min="3" max="3" width="22.33203125" style="108" customWidth="1"/>
    <col min="4" max="4" width="11.5" style="171" customWidth="1"/>
    <col min="5" max="5" width="8.83203125" style="178"/>
    <col min="6" max="6" width="13.83203125" style="108" customWidth="1"/>
    <col min="7" max="7" width="32.33203125" style="108" customWidth="1"/>
    <col min="8" max="8" width="8.83203125" style="178"/>
    <col min="9" max="16384" width="8.83203125" style="108"/>
  </cols>
  <sheetData>
    <row r="1" spans="1:8" x14ac:dyDescent="0.2">
      <c r="A1" s="176" t="s">
        <v>129</v>
      </c>
      <c r="B1" s="176" t="s">
        <v>130</v>
      </c>
      <c r="C1" s="176" t="s">
        <v>131</v>
      </c>
      <c r="D1" s="177" t="s">
        <v>103</v>
      </c>
    </row>
    <row r="2" spans="1:8" x14ac:dyDescent="0.2">
      <c r="A2" s="108" t="s">
        <v>132</v>
      </c>
      <c r="B2" s="108" t="s">
        <v>133</v>
      </c>
      <c r="C2" s="108" t="s">
        <v>134</v>
      </c>
      <c r="D2" s="179">
        <v>5.4231999999999995E-2</v>
      </c>
    </row>
    <row r="3" spans="1:8" x14ac:dyDescent="0.2">
      <c r="A3" s="108" t="s">
        <v>135</v>
      </c>
      <c r="B3" s="108" t="s">
        <v>136</v>
      </c>
      <c r="C3" s="108" t="s">
        <v>137</v>
      </c>
      <c r="D3" s="179">
        <v>0.24058599999999999</v>
      </c>
    </row>
    <row r="4" spans="1:8" x14ac:dyDescent="0.2">
      <c r="A4" s="108" t="s">
        <v>30</v>
      </c>
      <c r="B4" s="108" t="s">
        <v>138</v>
      </c>
      <c r="C4" s="108" t="s">
        <v>134</v>
      </c>
      <c r="D4" s="179">
        <v>1.3347479999999998</v>
      </c>
    </row>
    <row r="5" spans="1:8" x14ac:dyDescent="0.2">
      <c r="A5" s="108" t="s">
        <v>139</v>
      </c>
      <c r="B5" s="108" t="s">
        <v>140</v>
      </c>
      <c r="C5" s="108" t="s">
        <v>141</v>
      </c>
      <c r="D5" s="179">
        <v>3.3595E-2</v>
      </c>
      <c r="H5" s="108"/>
    </row>
    <row r="6" spans="1:8" x14ac:dyDescent="0.2">
      <c r="A6" s="108" t="s">
        <v>142</v>
      </c>
      <c r="B6" s="108" t="s">
        <v>143</v>
      </c>
      <c r="C6" s="108" t="s">
        <v>134</v>
      </c>
      <c r="D6" s="179">
        <v>0</v>
      </c>
      <c r="H6" s="108"/>
    </row>
    <row r="7" spans="1:8" ht="16" x14ac:dyDescent="0.2">
      <c r="A7" s="108" t="s">
        <v>144</v>
      </c>
      <c r="B7" s="108" t="s">
        <v>145</v>
      </c>
      <c r="C7" s="108" t="s">
        <v>146</v>
      </c>
      <c r="D7" s="179">
        <v>-0.70191999999999988</v>
      </c>
      <c r="F7" s="120" t="s">
        <v>147</v>
      </c>
      <c r="H7" s="108"/>
    </row>
    <row r="8" spans="1:8" x14ac:dyDescent="0.2">
      <c r="A8" s="108" t="s">
        <v>148</v>
      </c>
      <c r="B8" s="108" t="s">
        <v>149</v>
      </c>
      <c r="C8" s="108" t="s">
        <v>141</v>
      </c>
      <c r="D8" s="179">
        <v>0.178813</v>
      </c>
      <c r="F8" s="180" t="s">
        <v>150</v>
      </c>
      <c r="G8" s="181" t="s">
        <v>151</v>
      </c>
      <c r="H8" s="182"/>
    </row>
    <row r="9" spans="1:8" x14ac:dyDescent="0.2">
      <c r="A9" s="108" t="s">
        <v>152</v>
      </c>
      <c r="B9" s="108" t="s">
        <v>153</v>
      </c>
      <c r="C9" s="108" t="s">
        <v>146</v>
      </c>
      <c r="D9" s="179">
        <v>3.7477000000000003E-2</v>
      </c>
      <c r="F9" s="108" t="s">
        <v>33</v>
      </c>
      <c r="G9" s="108" t="str">
        <f>VLOOKUP(F9,$A$2:$D$501,2)</f>
        <v>Wal-Mart Stores, Inc.</v>
      </c>
    </row>
    <row r="10" spans="1:8" x14ac:dyDescent="0.2">
      <c r="A10" s="108" t="s">
        <v>154</v>
      </c>
      <c r="B10" s="108" t="s">
        <v>155</v>
      </c>
      <c r="C10" s="108" t="s">
        <v>134</v>
      </c>
      <c r="D10" s="179">
        <v>-7.6577000000000006E-2</v>
      </c>
      <c r="F10" s="108" t="s">
        <v>156</v>
      </c>
      <c r="G10" s="108" t="str">
        <f t="shared" ref="G10:G23" si="0">VLOOKUP(F10,$A$2:$D$501,2)</f>
        <v>McDonald's Corporation</v>
      </c>
    </row>
    <row r="11" spans="1:8" x14ac:dyDescent="0.2">
      <c r="A11" s="108" t="s">
        <v>157</v>
      </c>
      <c r="B11" s="108" t="s">
        <v>158</v>
      </c>
      <c r="C11" s="108" t="s">
        <v>134</v>
      </c>
      <c r="D11" s="179">
        <v>3.9154000000000001E-2</v>
      </c>
      <c r="F11" s="108" t="s">
        <v>159</v>
      </c>
      <c r="G11" s="108" t="str">
        <f t="shared" si="0"/>
        <v>Johnson &amp; Johnson</v>
      </c>
    </row>
    <row r="12" spans="1:8" x14ac:dyDescent="0.2">
      <c r="A12" s="108" t="s">
        <v>160</v>
      </c>
      <c r="B12" s="108" t="s">
        <v>161</v>
      </c>
      <c r="C12" s="108" t="s">
        <v>134</v>
      </c>
      <c r="D12" s="179">
        <v>7.0199999999999999E-2</v>
      </c>
      <c r="F12" s="108" t="s">
        <v>162</v>
      </c>
      <c r="G12" s="108" t="str">
        <f t="shared" si="0"/>
        <v>International Business Machin</v>
      </c>
    </row>
    <row r="13" spans="1:8" x14ac:dyDescent="0.2">
      <c r="A13" s="108" t="s">
        <v>163</v>
      </c>
      <c r="B13" s="108" t="s">
        <v>164</v>
      </c>
      <c r="C13" s="108" t="s">
        <v>134</v>
      </c>
      <c r="D13" s="179">
        <v>-1.3690000000000001E-2</v>
      </c>
      <c r="F13" s="108" t="s">
        <v>39</v>
      </c>
      <c r="G13" s="108" t="str">
        <f t="shared" si="0"/>
        <v>Microsoft Corporation</v>
      </c>
    </row>
    <row r="14" spans="1:8" x14ac:dyDescent="0.2">
      <c r="A14" s="108" t="s">
        <v>165</v>
      </c>
      <c r="B14" s="108" t="s">
        <v>166</v>
      </c>
      <c r="C14" s="108" t="s">
        <v>167</v>
      </c>
      <c r="D14" s="179">
        <v>0.46714599999999995</v>
      </c>
      <c r="F14" s="108" t="s">
        <v>168</v>
      </c>
      <c r="G14" s="108" t="str">
        <f t="shared" si="0"/>
        <v>The Coca-Cola Company</v>
      </c>
    </row>
    <row r="15" spans="1:8" x14ac:dyDescent="0.2">
      <c r="A15" s="108" t="s">
        <v>169</v>
      </c>
      <c r="B15" s="108" t="s">
        <v>170</v>
      </c>
      <c r="C15" s="108" t="s">
        <v>171</v>
      </c>
      <c r="D15" s="179">
        <v>2.8212999999999998E-2</v>
      </c>
      <c r="F15" s="108" t="s">
        <v>112</v>
      </c>
      <c r="G15" s="108" t="str">
        <f t="shared" si="0"/>
        <v>Goldman Sachs Group, Inc.</v>
      </c>
    </row>
    <row r="16" spans="1:8" x14ac:dyDescent="0.2">
      <c r="A16" s="108" t="s">
        <v>172</v>
      </c>
      <c r="B16" s="108" t="s">
        <v>173</v>
      </c>
      <c r="C16" s="108" t="s">
        <v>134</v>
      </c>
      <c r="D16" s="179">
        <v>0.22985700000000001</v>
      </c>
      <c r="F16" s="108" t="s">
        <v>174</v>
      </c>
      <c r="G16" s="108" t="str">
        <f t="shared" si="0"/>
        <v>Corning Incorporated</v>
      </c>
    </row>
    <row r="17" spans="1:8" x14ac:dyDescent="0.2">
      <c r="A17" s="108" t="s">
        <v>175</v>
      </c>
      <c r="B17" s="108" t="s">
        <v>176</v>
      </c>
      <c r="C17" s="108" t="s">
        <v>177</v>
      </c>
      <c r="D17" s="179">
        <v>5.6207E-2</v>
      </c>
      <c r="F17" s="108" t="s">
        <v>114</v>
      </c>
      <c r="G17" s="108" t="str">
        <f t="shared" si="0"/>
        <v>The Home Depot, Inc.</v>
      </c>
    </row>
    <row r="18" spans="1:8" x14ac:dyDescent="0.2">
      <c r="A18" s="108" t="s">
        <v>178</v>
      </c>
      <c r="B18" s="108" t="s">
        <v>179</v>
      </c>
      <c r="C18" s="108" t="s">
        <v>177</v>
      </c>
      <c r="D18" s="179">
        <v>0.130578</v>
      </c>
      <c r="F18" s="108" t="s">
        <v>180</v>
      </c>
      <c r="G18" s="108" t="str">
        <f t="shared" si="0"/>
        <v>Alcoa Inc.</v>
      </c>
    </row>
    <row r="19" spans="1:8" x14ac:dyDescent="0.2">
      <c r="A19" s="108" t="s">
        <v>181</v>
      </c>
      <c r="B19" s="108" t="s">
        <v>182</v>
      </c>
      <c r="C19" s="108" t="s">
        <v>177</v>
      </c>
      <c r="D19" s="179">
        <v>-2.9492000000000004E-2</v>
      </c>
      <c r="F19" s="108" t="s">
        <v>183</v>
      </c>
      <c r="G19" s="108" t="str">
        <f t="shared" si="0"/>
        <v>Caterpillar Inc.</v>
      </c>
    </row>
    <row r="20" spans="1:8" x14ac:dyDescent="0.2">
      <c r="A20" s="108" t="s">
        <v>184</v>
      </c>
      <c r="B20" s="108" t="s">
        <v>185</v>
      </c>
      <c r="C20" s="108" t="s">
        <v>146</v>
      </c>
      <c r="D20" s="179">
        <v>0.33788800000000002</v>
      </c>
      <c r="F20" s="108" t="s">
        <v>186</v>
      </c>
      <c r="G20" s="108" t="str">
        <f t="shared" si="0"/>
        <v>AT&amp;T Inc.</v>
      </c>
    </row>
    <row r="21" spans="1:8" x14ac:dyDescent="0.2">
      <c r="A21" s="108" t="s">
        <v>187</v>
      </c>
      <c r="B21" s="108" t="s">
        <v>188</v>
      </c>
      <c r="C21" s="108" t="s">
        <v>146</v>
      </c>
      <c r="D21" s="179">
        <v>0.378913</v>
      </c>
      <c r="F21" s="108" t="s">
        <v>189</v>
      </c>
      <c r="G21" s="108" t="str">
        <f t="shared" si="0"/>
        <v>The Boeing Company</v>
      </c>
    </row>
    <row r="22" spans="1:8" x14ac:dyDescent="0.2">
      <c r="A22" s="108" t="s">
        <v>190</v>
      </c>
      <c r="B22" s="108" t="s">
        <v>191</v>
      </c>
      <c r="C22" s="108" t="s">
        <v>141</v>
      </c>
      <c r="D22" s="179">
        <v>7.6332000000000011E-2</v>
      </c>
      <c r="F22" s="108" t="s">
        <v>39</v>
      </c>
      <c r="G22" s="108" t="str">
        <f t="shared" si="0"/>
        <v>Microsoft Corporation</v>
      </c>
    </row>
    <row r="23" spans="1:8" x14ac:dyDescent="0.2">
      <c r="A23" s="108" t="s">
        <v>192</v>
      </c>
      <c r="B23" s="108" t="s">
        <v>193</v>
      </c>
      <c r="C23" s="108" t="s">
        <v>146</v>
      </c>
      <c r="D23" s="179">
        <v>-0.17624899999999999</v>
      </c>
      <c r="F23" s="108" t="s">
        <v>194</v>
      </c>
      <c r="G23" s="108" t="str">
        <f t="shared" si="0"/>
        <v>The Procter &amp; Gamble Company</v>
      </c>
    </row>
    <row r="24" spans="1:8" x14ac:dyDescent="0.2">
      <c r="A24" s="108" t="s">
        <v>195</v>
      </c>
      <c r="B24" s="108" t="s">
        <v>196</v>
      </c>
      <c r="C24" s="108" t="s">
        <v>171</v>
      </c>
      <c r="D24" s="179">
        <v>-0.30310599999999999</v>
      </c>
    </row>
    <row r="25" spans="1:8" x14ac:dyDescent="0.2">
      <c r="A25" s="108" t="s">
        <v>197</v>
      </c>
      <c r="B25" s="108" t="s">
        <v>198</v>
      </c>
      <c r="C25" s="108" t="s">
        <v>146</v>
      </c>
      <c r="D25" s="179">
        <v>-0.17447400000000002</v>
      </c>
      <c r="H25" s="108"/>
    </row>
    <row r="26" spans="1:8" x14ac:dyDescent="0.2">
      <c r="A26" s="108" t="s">
        <v>199</v>
      </c>
      <c r="B26" s="108" t="s">
        <v>200</v>
      </c>
      <c r="C26" s="108" t="s">
        <v>134</v>
      </c>
      <c r="D26" s="179">
        <v>-1.2195000000000001E-2</v>
      </c>
      <c r="H26" s="108"/>
    </row>
    <row r="27" spans="1:8" ht="16" x14ac:dyDescent="0.2">
      <c r="A27" s="108" t="s">
        <v>201</v>
      </c>
      <c r="B27" s="108" t="s">
        <v>202</v>
      </c>
      <c r="C27" s="108" t="s">
        <v>134</v>
      </c>
      <c r="D27" s="179">
        <v>-2.4931999999999999E-2</v>
      </c>
      <c r="F27" s="120" t="s">
        <v>203</v>
      </c>
    </row>
    <row r="28" spans="1:8" x14ac:dyDescent="0.2">
      <c r="A28" s="108" t="s">
        <v>204</v>
      </c>
      <c r="B28" s="108" t="s">
        <v>205</v>
      </c>
      <c r="C28" s="108" t="s">
        <v>134</v>
      </c>
      <c r="D28" s="179">
        <v>-0.63145000000000007</v>
      </c>
      <c r="F28" s="180" t="s">
        <v>150</v>
      </c>
      <c r="G28" s="181" t="s">
        <v>151</v>
      </c>
      <c r="H28" s="182" t="s">
        <v>17</v>
      </c>
    </row>
    <row r="29" spans="1:8" x14ac:dyDescent="0.2">
      <c r="A29" s="108" t="s">
        <v>206</v>
      </c>
      <c r="B29" s="108" t="s">
        <v>207</v>
      </c>
      <c r="C29" s="108" t="s">
        <v>141</v>
      </c>
      <c r="D29" s="179">
        <v>-0.320158</v>
      </c>
      <c r="F29" s="108" t="s">
        <v>33</v>
      </c>
      <c r="G29" s="108" t="str" cm="1">
        <f t="array" ref="G29:H29">VLOOKUP(F29,$A$2:$D$501,{2,4})</f>
        <v>Wal-Mart Stores, Inc.</v>
      </c>
      <c r="H29" s="178">
        <v>4.8288999999999999E-2</v>
      </c>
    </row>
    <row r="30" spans="1:8" x14ac:dyDescent="0.2">
      <c r="A30" s="108" t="s">
        <v>208</v>
      </c>
      <c r="B30" s="108" t="s">
        <v>209</v>
      </c>
      <c r="C30" s="108" t="s">
        <v>146</v>
      </c>
      <c r="D30" s="179">
        <v>2.1467999999999998E-2</v>
      </c>
      <c r="F30" s="108" t="s">
        <v>156</v>
      </c>
      <c r="G30" s="108" t="str" cm="1">
        <f t="array" ref="G30:H30">VLOOKUP(F30,$A$2:$D$501,{2,4})</f>
        <v>McDonald's Corporation</v>
      </c>
      <c r="H30" s="178">
        <v>0.362734</v>
      </c>
    </row>
    <row r="31" spans="1:8" x14ac:dyDescent="0.2">
      <c r="A31" s="108" t="s">
        <v>35</v>
      </c>
      <c r="B31" s="108" t="s">
        <v>210</v>
      </c>
      <c r="C31" s="108" t="s">
        <v>171</v>
      </c>
      <c r="D31" s="179">
        <v>1.3476939999999999</v>
      </c>
      <c r="F31" s="108" t="s">
        <v>159</v>
      </c>
      <c r="G31" s="108" t="str" cm="1">
        <f t="array" ref="G31:H31">VLOOKUP(F31,$A$2:$D$501,{2,4})</f>
        <v>Johnson &amp; Johnson</v>
      </c>
      <c r="H31" s="178">
        <v>3.4838000000000001E-2</v>
      </c>
    </row>
    <row r="32" spans="1:8" x14ac:dyDescent="0.2">
      <c r="A32" s="108" t="s">
        <v>211</v>
      </c>
      <c r="B32" s="108" t="s">
        <v>212</v>
      </c>
      <c r="C32" s="108" t="s">
        <v>171</v>
      </c>
      <c r="D32" s="179">
        <v>-0.26547799999999999</v>
      </c>
      <c r="F32" s="108" t="s">
        <v>162</v>
      </c>
      <c r="G32" s="108" t="str" cm="1">
        <f t="array" ref="G32:H32">VLOOKUP(F32,$A$2:$D$501,{2,4})</f>
        <v>International Business Machin</v>
      </c>
      <c r="H32" s="178">
        <v>0.12815200000000002</v>
      </c>
    </row>
    <row r="33" spans="1:8" x14ac:dyDescent="0.2">
      <c r="A33" s="108" t="s">
        <v>213</v>
      </c>
      <c r="B33" s="108" t="s">
        <v>214</v>
      </c>
      <c r="C33" s="108" t="s">
        <v>146</v>
      </c>
      <c r="D33" s="179">
        <v>0.36643999999999999</v>
      </c>
      <c r="F33" s="108" t="s">
        <v>39</v>
      </c>
      <c r="G33" s="108" t="str" cm="1">
        <f t="array" ref="G33:H33">VLOOKUP(F33,$A$2:$D$501,{2,4})</f>
        <v>Microsoft Corporation</v>
      </c>
      <c r="H33" s="178">
        <v>0.20596100000000001</v>
      </c>
    </row>
    <row r="34" spans="1:8" x14ac:dyDescent="0.2">
      <c r="A34" s="108" t="s">
        <v>215</v>
      </c>
      <c r="B34" s="108" t="s">
        <v>216</v>
      </c>
      <c r="C34" s="108" t="s">
        <v>217</v>
      </c>
      <c r="D34" s="179">
        <v>0.62592100000000006</v>
      </c>
      <c r="F34" s="108" t="s">
        <v>168</v>
      </c>
      <c r="G34" s="108" t="str" cm="1">
        <f t="array" ref="G34:H34">VLOOKUP(F34,$A$2:$D$501,{2,4})</f>
        <v>The Coca-Cola Company</v>
      </c>
      <c r="H34" s="178">
        <v>0.30010399999999998</v>
      </c>
    </row>
    <row r="35" spans="1:8" x14ac:dyDescent="0.2">
      <c r="A35" s="108" t="s">
        <v>218</v>
      </c>
      <c r="B35" s="108" t="s">
        <v>219</v>
      </c>
      <c r="C35" s="108" t="s">
        <v>217</v>
      </c>
      <c r="D35" s="179">
        <v>0.51769299999999996</v>
      </c>
      <c r="F35" s="108" t="s">
        <v>112</v>
      </c>
      <c r="G35" s="108" t="str" cm="1">
        <f t="array" ref="G35:H35">VLOOKUP(F35,$A$2:$D$501,{2,4})</f>
        <v>Goldman Sachs Group, Inc.</v>
      </c>
      <c r="H35" s="178">
        <v>8.5778999999999994E-2</v>
      </c>
    </row>
    <row r="36" spans="1:8" x14ac:dyDescent="0.2">
      <c r="A36" s="108" t="s">
        <v>220</v>
      </c>
      <c r="B36" s="108" t="s">
        <v>221</v>
      </c>
      <c r="C36" s="108" t="s">
        <v>134</v>
      </c>
      <c r="D36" s="179">
        <v>-0.9966330000000001</v>
      </c>
      <c r="F36" s="108" t="s">
        <v>174</v>
      </c>
      <c r="G36" s="108" t="str" cm="1">
        <f t="array" ref="G36:H36">VLOOKUP(F36,$A$2:$D$501,{2,4})</f>
        <v>Corning Incorporated</v>
      </c>
      <c r="H36" s="178">
        <v>0.287547</v>
      </c>
    </row>
    <row r="37" spans="1:8" x14ac:dyDescent="0.2">
      <c r="A37" s="108" t="s">
        <v>222</v>
      </c>
      <c r="B37" s="108" t="s">
        <v>223</v>
      </c>
      <c r="C37" s="108" t="s">
        <v>137</v>
      </c>
      <c r="D37" s="179">
        <v>0.42501399999999995</v>
      </c>
      <c r="F37" s="108" t="s">
        <v>114</v>
      </c>
      <c r="G37" s="108" t="str" cm="1">
        <f t="array" ref="G37:H37">VLOOKUP(F37,$A$2:$D$501,{2,4})</f>
        <v>The Home Depot, Inc.</v>
      </c>
      <c r="H37" s="178">
        <v>-0.30677299999999996</v>
      </c>
    </row>
    <row r="38" spans="1:8" x14ac:dyDescent="0.2">
      <c r="A38" s="108" t="s">
        <v>224</v>
      </c>
      <c r="B38" s="108" t="s">
        <v>225</v>
      </c>
      <c r="C38" s="108" t="s">
        <v>171</v>
      </c>
      <c r="D38" s="179">
        <v>0.80010300000000001</v>
      </c>
      <c r="F38" s="108" t="s">
        <v>180</v>
      </c>
      <c r="G38" s="108" t="str" cm="1">
        <f t="array" ref="G38:H38">VLOOKUP(F38,$A$2:$D$501,{2,4})</f>
        <v>Alcoa Inc.</v>
      </c>
      <c r="H38" s="178">
        <v>0.24058599999999999</v>
      </c>
    </row>
    <row r="39" spans="1:8" x14ac:dyDescent="0.2">
      <c r="A39" s="108" t="s">
        <v>226</v>
      </c>
      <c r="B39" s="108" t="s">
        <v>227</v>
      </c>
      <c r="C39" s="108" t="s">
        <v>137</v>
      </c>
      <c r="D39" s="179">
        <v>-0.29849700000000001</v>
      </c>
      <c r="F39" s="108" t="s">
        <v>183</v>
      </c>
      <c r="G39" s="108" t="str" cm="1">
        <f t="array" ref="G39:H39">VLOOKUP(F39,$A$2:$D$501,{2,4})</f>
        <v>Caterpillar Inc.</v>
      </c>
      <c r="H39" s="178">
        <v>0.20463100000000001</v>
      </c>
    </row>
    <row r="40" spans="1:8" x14ac:dyDescent="0.2">
      <c r="A40" s="108" t="s">
        <v>228</v>
      </c>
      <c r="B40" s="108" t="s">
        <v>229</v>
      </c>
      <c r="C40" s="108" t="s">
        <v>171</v>
      </c>
      <c r="D40" s="179">
        <v>5.8323E-2</v>
      </c>
      <c r="F40" s="108" t="s">
        <v>186</v>
      </c>
      <c r="G40" s="108" t="str" cm="1">
        <f t="array" ref="G40:H40">VLOOKUP(F40,$A$2:$D$501,{2,4})</f>
        <v>AT&amp;T Inc.</v>
      </c>
      <c r="H40" s="178">
        <v>0.202238</v>
      </c>
    </row>
    <row r="41" spans="1:8" x14ac:dyDescent="0.2">
      <c r="A41" s="108" t="s">
        <v>230</v>
      </c>
      <c r="B41" s="108" t="s">
        <v>231</v>
      </c>
      <c r="C41" s="108" t="s">
        <v>171</v>
      </c>
      <c r="D41" s="179">
        <v>0.187748</v>
      </c>
      <c r="F41" s="108" t="s">
        <v>189</v>
      </c>
      <c r="G41" s="108" t="str" cm="1">
        <f t="array" ref="G41:H41">VLOOKUP(F41,$A$2:$D$501,{2,4})</f>
        <v>The Boeing Company</v>
      </c>
      <c r="H41" s="178">
        <v>2.2499999999999999E-4</v>
      </c>
    </row>
    <row r="42" spans="1:8" x14ac:dyDescent="0.2">
      <c r="A42" s="108" t="s">
        <v>232</v>
      </c>
      <c r="B42" s="108" t="s">
        <v>233</v>
      </c>
      <c r="C42" s="108" t="s">
        <v>137</v>
      </c>
      <c r="D42" s="179">
        <v>-4.0913000000000005E-2</v>
      </c>
      <c r="F42" s="108" t="s">
        <v>39</v>
      </c>
      <c r="G42" s="108" t="str" cm="1">
        <f t="array" ref="G42:H42">VLOOKUP(F42,$A$2:$D$501,{2,4})</f>
        <v>Microsoft Corporation</v>
      </c>
      <c r="H42" s="178">
        <v>0.20596100000000001</v>
      </c>
    </row>
    <row r="43" spans="1:8" x14ac:dyDescent="0.2">
      <c r="A43" s="108" t="s">
        <v>234</v>
      </c>
      <c r="B43" s="108" t="s">
        <v>235</v>
      </c>
      <c r="C43" s="108" t="s">
        <v>134</v>
      </c>
      <c r="D43" s="179">
        <v>0</v>
      </c>
      <c r="F43" s="108" t="s">
        <v>194</v>
      </c>
      <c r="G43" s="108" t="str" cm="1">
        <f t="array" ref="G43:H43">VLOOKUP(F43,$A$2:$D$501,{2,4})</f>
        <v>The Procter &amp; Gamble Company</v>
      </c>
      <c r="H43" s="178">
        <v>0.16352899999999998</v>
      </c>
    </row>
    <row r="44" spans="1:8" x14ac:dyDescent="0.2">
      <c r="A44" s="108" t="s">
        <v>236</v>
      </c>
      <c r="B44" s="108" t="s">
        <v>237</v>
      </c>
      <c r="C44" s="108" t="s">
        <v>167</v>
      </c>
      <c r="D44" s="179">
        <v>0.21882599999999999</v>
      </c>
    </row>
    <row r="45" spans="1:8" x14ac:dyDescent="0.2">
      <c r="A45" s="108" t="s">
        <v>238</v>
      </c>
      <c r="B45" s="108" t="s">
        <v>239</v>
      </c>
      <c r="C45" s="108" t="s">
        <v>137</v>
      </c>
      <c r="D45" s="179">
        <v>-0.194023</v>
      </c>
    </row>
    <row r="46" spans="1:8" x14ac:dyDescent="0.2">
      <c r="A46" s="108" t="s">
        <v>240</v>
      </c>
      <c r="B46" s="108" t="s">
        <v>241</v>
      </c>
      <c r="C46" s="108" t="s">
        <v>171</v>
      </c>
      <c r="D46" s="179">
        <v>-0.10333600000000001</v>
      </c>
    </row>
    <row r="47" spans="1:8" x14ac:dyDescent="0.2">
      <c r="A47" s="108" t="s">
        <v>242</v>
      </c>
      <c r="B47" s="108" t="s">
        <v>243</v>
      </c>
      <c r="C47" s="108" t="s">
        <v>146</v>
      </c>
      <c r="D47" s="179">
        <v>-0.132685</v>
      </c>
    </row>
    <row r="48" spans="1:8" x14ac:dyDescent="0.2">
      <c r="A48" s="108" t="s">
        <v>244</v>
      </c>
      <c r="B48" s="108" t="s">
        <v>245</v>
      </c>
      <c r="C48" s="108" t="s">
        <v>177</v>
      </c>
      <c r="D48" s="179">
        <v>0.38880400000000004</v>
      </c>
    </row>
    <row r="49" spans="1:4" x14ac:dyDescent="0.2">
      <c r="A49" s="108" t="s">
        <v>246</v>
      </c>
      <c r="B49" s="108" t="s">
        <v>247</v>
      </c>
      <c r="C49" s="108" t="s">
        <v>171</v>
      </c>
      <c r="D49" s="179">
        <v>3.7643000000000003E-2</v>
      </c>
    </row>
    <row r="50" spans="1:4" x14ac:dyDescent="0.2">
      <c r="A50" s="108" t="s">
        <v>189</v>
      </c>
      <c r="B50" s="108" t="s">
        <v>248</v>
      </c>
      <c r="C50" s="108" t="s">
        <v>249</v>
      </c>
      <c r="D50" s="179">
        <v>2.2499999999999999E-4</v>
      </c>
    </row>
    <row r="51" spans="1:4" x14ac:dyDescent="0.2">
      <c r="A51" s="108" t="s">
        <v>250</v>
      </c>
      <c r="B51" s="108" t="s">
        <v>251</v>
      </c>
      <c r="C51" s="108" t="s">
        <v>146</v>
      </c>
      <c r="D51" s="179">
        <v>-0.18224399999999999</v>
      </c>
    </row>
    <row r="52" spans="1:4" x14ac:dyDescent="0.2">
      <c r="A52" s="108" t="s">
        <v>252</v>
      </c>
      <c r="B52" s="108" t="s">
        <v>253</v>
      </c>
      <c r="C52" s="108" t="s">
        <v>141</v>
      </c>
      <c r="D52" s="179">
        <v>0.26686799999999999</v>
      </c>
    </row>
    <row r="53" spans="1:4" x14ac:dyDescent="0.2">
      <c r="A53" s="108" t="s">
        <v>254</v>
      </c>
      <c r="B53" s="108" t="s">
        <v>255</v>
      </c>
      <c r="C53" s="108" t="s">
        <v>171</v>
      </c>
      <c r="D53" s="179">
        <v>-0.22860900000000001</v>
      </c>
    </row>
    <row r="54" spans="1:4" x14ac:dyDescent="0.2">
      <c r="A54" s="108" t="s">
        <v>256</v>
      </c>
      <c r="B54" s="108" t="s">
        <v>257</v>
      </c>
      <c r="C54" s="108" t="s">
        <v>146</v>
      </c>
      <c r="D54" s="179">
        <v>-0.26178000000000001</v>
      </c>
    </row>
    <row r="55" spans="1:4" x14ac:dyDescent="0.2">
      <c r="A55" s="108" t="s">
        <v>34</v>
      </c>
      <c r="B55" s="108" t="s">
        <v>258</v>
      </c>
      <c r="C55" s="108" t="s">
        <v>171</v>
      </c>
      <c r="D55" s="179">
        <v>7.7047999999999991E-2</v>
      </c>
    </row>
    <row r="56" spans="1:4" x14ac:dyDescent="0.2">
      <c r="A56" s="108" t="s">
        <v>259</v>
      </c>
      <c r="B56" s="108" t="s">
        <v>260</v>
      </c>
      <c r="C56" s="108" t="s">
        <v>261</v>
      </c>
      <c r="D56" s="179">
        <v>-0.44670799999999999</v>
      </c>
    </row>
    <row r="57" spans="1:4" x14ac:dyDescent="0.2">
      <c r="A57" s="108" t="s">
        <v>262</v>
      </c>
      <c r="B57" s="108" t="s">
        <v>263</v>
      </c>
      <c r="C57" s="108" t="s">
        <v>141</v>
      </c>
      <c r="D57" s="179">
        <v>0.14957200000000001</v>
      </c>
    </row>
    <row r="58" spans="1:4" x14ac:dyDescent="0.2">
      <c r="A58" s="108" t="s">
        <v>264</v>
      </c>
      <c r="B58" s="108" t="s">
        <v>265</v>
      </c>
      <c r="C58" s="108" t="s">
        <v>249</v>
      </c>
      <c r="D58" s="179">
        <v>-0.108041</v>
      </c>
    </row>
    <row r="59" spans="1:4" x14ac:dyDescent="0.2">
      <c r="A59" s="108" t="s">
        <v>266</v>
      </c>
      <c r="B59" s="108" t="s">
        <v>267</v>
      </c>
      <c r="C59" s="108" t="s">
        <v>141</v>
      </c>
      <c r="D59" s="179">
        <v>0.205987</v>
      </c>
    </row>
    <row r="60" spans="1:4" x14ac:dyDescent="0.2">
      <c r="A60" s="108" t="s">
        <v>268</v>
      </c>
      <c r="B60" s="108" t="s">
        <v>269</v>
      </c>
      <c r="C60" s="108" t="s">
        <v>146</v>
      </c>
      <c r="D60" s="179">
        <v>4.4566999999999996E-2</v>
      </c>
    </row>
    <row r="61" spans="1:4" x14ac:dyDescent="0.2">
      <c r="A61" s="108" t="s">
        <v>270</v>
      </c>
      <c r="B61" s="108" t="s">
        <v>271</v>
      </c>
      <c r="C61" s="108" t="s">
        <v>167</v>
      </c>
      <c r="D61" s="179">
        <v>0</v>
      </c>
    </row>
    <row r="62" spans="1:4" x14ac:dyDescent="0.2">
      <c r="A62" s="108" t="s">
        <v>272</v>
      </c>
      <c r="B62" s="108" t="s">
        <v>273</v>
      </c>
      <c r="C62" s="108" t="s">
        <v>217</v>
      </c>
      <c r="D62" s="179">
        <v>9.3223E-2</v>
      </c>
    </row>
    <row r="63" spans="1:4" x14ac:dyDescent="0.2">
      <c r="A63" s="108" t="s">
        <v>274</v>
      </c>
      <c r="B63" s="108" t="s">
        <v>275</v>
      </c>
      <c r="C63" s="108" t="s">
        <v>171</v>
      </c>
      <c r="D63" s="179">
        <v>-0.30235600000000001</v>
      </c>
    </row>
    <row r="64" spans="1:4" x14ac:dyDescent="0.2">
      <c r="A64" s="108" t="s">
        <v>276</v>
      </c>
      <c r="B64" s="108" t="s">
        <v>277</v>
      </c>
      <c r="C64" s="108" t="s">
        <v>141</v>
      </c>
      <c r="D64" s="179">
        <v>0.15714600000000001</v>
      </c>
    </row>
    <row r="65" spans="1:4" x14ac:dyDescent="0.2">
      <c r="A65" s="108" t="s">
        <v>278</v>
      </c>
      <c r="B65" s="108" t="s">
        <v>279</v>
      </c>
      <c r="C65" s="108" t="s">
        <v>217</v>
      </c>
      <c r="D65" s="179">
        <v>-0.16575700000000002</v>
      </c>
    </row>
    <row r="66" spans="1:4" x14ac:dyDescent="0.2">
      <c r="A66" s="108" t="s">
        <v>280</v>
      </c>
      <c r="B66" s="108" t="s">
        <v>281</v>
      </c>
      <c r="C66" s="108" t="s">
        <v>146</v>
      </c>
      <c r="D66" s="179">
        <v>0.191085</v>
      </c>
    </row>
    <row r="67" spans="1:4" x14ac:dyDescent="0.2">
      <c r="A67" s="108" t="s">
        <v>282</v>
      </c>
      <c r="B67" s="108" t="s">
        <v>283</v>
      </c>
      <c r="C67" s="108" t="s">
        <v>137</v>
      </c>
      <c r="D67" s="179">
        <v>4.1284000000000001E-2</v>
      </c>
    </row>
    <row r="68" spans="1:4" x14ac:dyDescent="0.2">
      <c r="A68" s="108" t="s">
        <v>284</v>
      </c>
      <c r="B68" s="108" t="s">
        <v>285</v>
      </c>
      <c r="C68" s="108" t="s">
        <v>171</v>
      </c>
      <c r="D68" s="179">
        <v>0</v>
      </c>
    </row>
    <row r="69" spans="1:4" x14ac:dyDescent="0.2">
      <c r="A69" s="108" t="s">
        <v>286</v>
      </c>
      <c r="B69" s="108" t="s">
        <v>287</v>
      </c>
      <c r="C69" s="108" t="s">
        <v>134</v>
      </c>
      <c r="D69" s="179">
        <v>0.106832</v>
      </c>
    </row>
    <row r="70" spans="1:4" x14ac:dyDescent="0.2">
      <c r="A70" s="108" t="s">
        <v>288</v>
      </c>
      <c r="B70" s="108" t="s">
        <v>289</v>
      </c>
      <c r="C70" s="108" t="s">
        <v>141</v>
      </c>
      <c r="D70" s="179">
        <v>0.114369</v>
      </c>
    </row>
    <row r="71" spans="1:4" x14ac:dyDescent="0.2">
      <c r="A71" s="108" t="s">
        <v>290</v>
      </c>
      <c r="B71" s="108" t="s">
        <v>291</v>
      </c>
      <c r="C71" s="108" t="s">
        <v>137</v>
      </c>
      <c r="D71" s="179">
        <v>-0.169511</v>
      </c>
    </row>
    <row r="72" spans="1:4" x14ac:dyDescent="0.2">
      <c r="A72" s="108" t="s">
        <v>292</v>
      </c>
      <c r="B72" s="108" t="s">
        <v>293</v>
      </c>
      <c r="C72" s="108" t="s">
        <v>141</v>
      </c>
      <c r="D72" s="179">
        <v>5.0152000000000002E-2</v>
      </c>
    </row>
    <row r="73" spans="1:4" x14ac:dyDescent="0.2">
      <c r="A73" s="108" t="s">
        <v>294</v>
      </c>
      <c r="B73" s="108" t="s">
        <v>295</v>
      </c>
      <c r="C73" s="108" t="s">
        <v>296</v>
      </c>
      <c r="D73" s="179">
        <v>0.14307</v>
      </c>
    </row>
    <row r="74" spans="1:4" x14ac:dyDescent="0.2">
      <c r="A74" s="108" t="s">
        <v>297</v>
      </c>
      <c r="B74" s="108" t="s">
        <v>298</v>
      </c>
      <c r="C74" s="108" t="s">
        <v>141</v>
      </c>
      <c r="D74" s="179">
        <v>0.25566700000000003</v>
      </c>
    </row>
    <row r="75" spans="1:4" x14ac:dyDescent="0.2">
      <c r="A75" s="108" t="s">
        <v>299</v>
      </c>
      <c r="B75" s="108" t="s">
        <v>300</v>
      </c>
      <c r="C75" s="108" t="s">
        <v>134</v>
      </c>
      <c r="D75" s="179">
        <v>-0.19096299999999999</v>
      </c>
    </row>
    <row r="76" spans="1:4" x14ac:dyDescent="0.2">
      <c r="A76" s="108" t="s">
        <v>301</v>
      </c>
      <c r="B76" s="108" t="s">
        <v>302</v>
      </c>
      <c r="C76" s="108" t="s">
        <v>141</v>
      </c>
      <c r="D76" s="179">
        <v>5.9457000000000003E-2</v>
      </c>
    </row>
    <row r="77" spans="1:4" x14ac:dyDescent="0.2">
      <c r="A77" s="108" t="s">
        <v>303</v>
      </c>
      <c r="B77" s="108" t="s">
        <v>304</v>
      </c>
      <c r="C77" s="108" t="s">
        <v>146</v>
      </c>
      <c r="D77" s="179">
        <v>0</v>
      </c>
    </row>
    <row r="78" spans="1:4" x14ac:dyDescent="0.2">
      <c r="A78" s="108" t="s">
        <v>305</v>
      </c>
      <c r="B78" s="108" t="s">
        <v>306</v>
      </c>
      <c r="C78" s="108" t="s">
        <v>141</v>
      </c>
      <c r="D78" s="179">
        <v>-0.32305</v>
      </c>
    </row>
    <row r="79" spans="1:4" x14ac:dyDescent="0.2">
      <c r="A79" s="108" t="s">
        <v>307</v>
      </c>
      <c r="B79" s="108" t="s">
        <v>308</v>
      </c>
      <c r="C79" s="108" t="s">
        <v>217</v>
      </c>
      <c r="D79" s="179">
        <v>0.63529800000000003</v>
      </c>
    </row>
    <row r="80" spans="1:4" x14ac:dyDescent="0.2">
      <c r="A80" s="108" t="s">
        <v>309</v>
      </c>
      <c r="B80" s="108" t="s">
        <v>310</v>
      </c>
      <c r="C80" s="108" t="s">
        <v>167</v>
      </c>
      <c r="D80" s="179">
        <v>0</v>
      </c>
    </row>
    <row r="81" spans="1:4" x14ac:dyDescent="0.2">
      <c r="A81" s="108" t="s">
        <v>311</v>
      </c>
      <c r="B81" s="108" t="s">
        <v>312</v>
      </c>
      <c r="C81" s="108" t="s">
        <v>171</v>
      </c>
      <c r="D81" s="179">
        <v>-0.101627</v>
      </c>
    </row>
    <row r="82" spans="1:4" x14ac:dyDescent="0.2">
      <c r="A82" s="108" t="s">
        <v>313</v>
      </c>
      <c r="B82" s="108" t="s">
        <v>314</v>
      </c>
      <c r="C82" s="108" t="s">
        <v>146</v>
      </c>
      <c r="D82" s="179">
        <v>-0.43267499999999998</v>
      </c>
    </row>
    <row r="83" spans="1:4" x14ac:dyDescent="0.2">
      <c r="A83" s="108" t="s">
        <v>315</v>
      </c>
      <c r="B83" s="108" t="s">
        <v>316</v>
      </c>
      <c r="C83" s="108" t="s">
        <v>134</v>
      </c>
      <c r="D83" s="179">
        <v>0.10860900000000001</v>
      </c>
    </row>
    <row r="84" spans="1:4" x14ac:dyDescent="0.2">
      <c r="A84" s="108" t="s">
        <v>317</v>
      </c>
      <c r="B84" s="108" t="s">
        <v>318</v>
      </c>
      <c r="C84" s="108" t="s">
        <v>167</v>
      </c>
      <c r="D84" s="179">
        <v>-9.1852000000000003E-2</v>
      </c>
    </row>
    <row r="85" spans="1:4" x14ac:dyDescent="0.2">
      <c r="A85" s="108" t="s">
        <v>319</v>
      </c>
      <c r="B85" s="108" t="s">
        <v>320</v>
      </c>
      <c r="C85" s="108" t="s">
        <v>141</v>
      </c>
      <c r="D85" s="179">
        <v>-9.6694000000000002E-2</v>
      </c>
    </row>
    <row r="86" spans="1:4" x14ac:dyDescent="0.2">
      <c r="A86" s="108" t="s">
        <v>183</v>
      </c>
      <c r="B86" s="108" t="s">
        <v>321</v>
      </c>
      <c r="C86" s="108" t="s">
        <v>249</v>
      </c>
      <c r="D86" s="179">
        <v>0.20463100000000001</v>
      </c>
    </row>
    <row r="87" spans="1:4" x14ac:dyDescent="0.2">
      <c r="A87" s="108" t="s">
        <v>322</v>
      </c>
      <c r="B87" s="108" t="s">
        <v>323</v>
      </c>
      <c r="C87" s="108" t="s">
        <v>146</v>
      </c>
      <c r="D87" s="179">
        <v>5.3487E-2</v>
      </c>
    </row>
    <row r="88" spans="1:4" x14ac:dyDescent="0.2">
      <c r="A88" s="108" t="s">
        <v>324</v>
      </c>
      <c r="B88" s="108" t="s">
        <v>325</v>
      </c>
      <c r="C88" s="108" t="s">
        <v>134</v>
      </c>
      <c r="D88" s="179">
        <v>0.18810099999999999</v>
      </c>
    </row>
    <row r="89" spans="1:4" x14ac:dyDescent="0.2">
      <c r="A89" s="108" t="s">
        <v>326</v>
      </c>
      <c r="B89" s="108" t="s">
        <v>327</v>
      </c>
      <c r="C89" s="108" t="s">
        <v>171</v>
      </c>
      <c r="D89" s="179">
        <v>-0.35090400000000005</v>
      </c>
    </row>
    <row r="90" spans="1:4" x14ac:dyDescent="0.2">
      <c r="A90" s="108" t="s">
        <v>328</v>
      </c>
      <c r="B90" s="108" t="s">
        <v>329</v>
      </c>
      <c r="C90" s="108" t="s">
        <v>146</v>
      </c>
      <c r="D90" s="179">
        <v>9.6115999999999993E-2</v>
      </c>
    </row>
    <row r="91" spans="1:4" x14ac:dyDescent="0.2">
      <c r="A91" s="108" t="s">
        <v>330</v>
      </c>
      <c r="B91" s="108" t="s">
        <v>331</v>
      </c>
      <c r="C91" s="108" t="s">
        <v>171</v>
      </c>
      <c r="D91" s="179">
        <v>-9.5894999999999994E-2</v>
      </c>
    </row>
    <row r="92" spans="1:4" x14ac:dyDescent="0.2">
      <c r="A92" s="108" t="s">
        <v>332</v>
      </c>
      <c r="B92" s="108" t="s">
        <v>333</v>
      </c>
      <c r="C92" s="108" t="s">
        <v>146</v>
      </c>
      <c r="D92" s="179">
        <v>9.3378000000000003E-2</v>
      </c>
    </row>
    <row r="93" spans="1:4" x14ac:dyDescent="0.2">
      <c r="A93" s="108" t="s">
        <v>334</v>
      </c>
      <c r="B93" s="108" t="s">
        <v>335</v>
      </c>
      <c r="C93" s="108" t="s">
        <v>167</v>
      </c>
      <c r="D93" s="179">
        <v>0.28648399999999996</v>
      </c>
    </row>
    <row r="94" spans="1:4" x14ac:dyDescent="0.2">
      <c r="A94" s="108" t="s">
        <v>336</v>
      </c>
      <c r="B94" s="108" t="s">
        <v>337</v>
      </c>
      <c r="C94" s="108" t="s">
        <v>171</v>
      </c>
      <c r="D94" s="179">
        <v>-6.4934000000000006E-2</v>
      </c>
    </row>
    <row r="95" spans="1:4" x14ac:dyDescent="0.2">
      <c r="A95" s="108" t="s">
        <v>338</v>
      </c>
      <c r="B95" s="108" t="s">
        <v>339</v>
      </c>
      <c r="C95" s="108" t="s">
        <v>171</v>
      </c>
      <c r="D95" s="179">
        <v>-0.77028499999999989</v>
      </c>
    </row>
    <row r="96" spans="1:4" x14ac:dyDescent="0.2">
      <c r="A96" s="108" t="s">
        <v>340</v>
      </c>
      <c r="B96" s="108" t="s">
        <v>341</v>
      </c>
      <c r="C96" s="108" t="s">
        <v>171</v>
      </c>
      <c r="D96" s="179">
        <v>0.22373000000000001</v>
      </c>
    </row>
    <row r="97" spans="1:4" x14ac:dyDescent="0.2">
      <c r="A97" s="108" t="s">
        <v>342</v>
      </c>
      <c r="B97" s="108" t="s">
        <v>343</v>
      </c>
      <c r="C97" s="108" t="s">
        <v>177</v>
      </c>
      <c r="D97" s="179">
        <v>0.51401200000000002</v>
      </c>
    </row>
    <row r="98" spans="1:4" x14ac:dyDescent="0.2">
      <c r="A98" s="108" t="s">
        <v>344</v>
      </c>
      <c r="B98" s="108" t="s">
        <v>345</v>
      </c>
      <c r="C98" s="108" t="s">
        <v>141</v>
      </c>
      <c r="D98" s="179">
        <v>-0.196767</v>
      </c>
    </row>
    <row r="99" spans="1:4" x14ac:dyDescent="0.2">
      <c r="A99" s="108" t="s">
        <v>346</v>
      </c>
      <c r="B99" s="108" t="s">
        <v>347</v>
      </c>
      <c r="C99" s="108" t="s">
        <v>146</v>
      </c>
      <c r="D99" s="179">
        <v>-0.77526499999999998</v>
      </c>
    </row>
    <row r="100" spans="1:4" x14ac:dyDescent="0.2">
      <c r="A100" s="108" t="s">
        <v>348</v>
      </c>
      <c r="B100" s="108" t="s">
        <v>349</v>
      </c>
      <c r="C100" s="108" t="s">
        <v>217</v>
      </c>
      <c r="D100" s="179">
        <v>0.35843400000000003</v>
      </c>
    </row>
    <row r="101" spans="1:4" x14ac:dyDescent="0.2">
      <c r="A101" s="108" t="s">
        <v>350</v>
      </c>
      <c r="B101" s="108" t="s">
        <v>351</v>
      </c>
      <c r="C101" s="108" t="s">
        <v>146</v>
      </c>
      <c r="D101" s="179">
        <v>0.22600100000000001</v>
      </c>
    </row>
    <row r="102" spans="1:4" x14ac:dyDescent="0.2">
      <c r="A102" s="108" t="s">
        <v>352</v>
      </c>
      <c r="B102" s="108" t="s">
        <v>353</v>
      </c>
      <c r="C102" s="108" t="s">
        <v>134</v>
      </c>
      <c r="D102" s="179">
        <v>0.230964</v>
      </c>
    </row>
    <row r="103" spans="1:4" x14ac:dyDescent="0.2">
      <c r="A103" s="108" t="s">
        <v>354</v>
      </c>
      <c r="B103" s="108" t="s">
        <v>355</v>
      </c>
      <c r="C103" s="108" t="s">
        <v>146</v>
      </c>
      <c r="D103" s="179">
        <v>-9.6005000000000007E-2</v>
      </c>
    </row>
    <row r="104" spans="1:4" x14ac:dyDescent="0.2">
      <c r="A104" s="108" t="s">
        <v>356</v>
      </c>
      <c r="B104" s="108" t="s">
        <v>357</v>
      </c>
      <c r="C104" s="108" t="s">
        <v>146</v>
      </c>
      <c r="D104" s="179">
        <v>0</v>
      </c>
    </row>
    <row r="105" spans="1:4" x14ac:dyDescent="0.2">
      <c r="A105" s="108" t="s">
        <v>358</v>
      </c>
      <c r="B105" s="108" t="s">
        <v>359</v>
      </c>
      <c r="C105" s="108" t="s">
        <v>167</v>
      </c>
      <c r="D105" s="179">
        <v>0.21643200000000001</v>
      </c>
    </row>
    <row r="106" spans="1:4" x14ac:dyDescent="0.2">
      <c r="A106" s="108" t="s">
        <v>360</v>
      </c>
      <c r="B106" s="108" t="s">
        <v>361</v>
      </c>
      <c r="C106" s="108" t="s">
        <v>167</v>
      </c>
      <c r="D106" s="179">
        <v>3.8036E-2</v>
      </c>
    </row>
    <row r="107" spans="1:4" x14ac:dyDescent="0.2">
      <c r="A107" s="108" t="s">
        <v>362</v>
      </c>
      <c r="B107" s="108" t="s">
        <v>363</v>
      </c>
      <c r="C107" s="108" t="s">
        <v>146</v>
      </c>
      <c r="D107" s="179">
        <v>-0.21455400000000002</v>
      </c>
    </row>
    <row r="108" spans="1:4" x14ac:dyDescent="0.2">
      <c r="A108" s="108" t="s">
        <v>364</v>
      </c>
      <c r="B108" s="108" t="s">
        <v>365</v>
      </c>
      <c r="C108" s="108" t="s">
        <v>171</v>
      </c>
      <c r="D108" s="179">
        <v>-0.352941</v>
      </c>
    </row>
    <row r="109" spans="1:4" x14ac:dyDescent="0.2">
      <c r="A109" s="108" t="s">
        <v>366</v>
      </c>
      <c r="B109" s="108" t="s">
        <v>367</v>
      </c>
      <c r="C109" s="108" t="s">
        <v>146</v>
      </c>
      <c r="D109" s="179">
        <v>0.35250599999999999</v>
      </c>
    </row>
    <row r="110" spans="1:4" x14ac:dyDescent="0.2">
      <c r="A110" s="108" t="s">
        <v>368</v>
      </c>
      <c r="B110" s="108" t="s">
        <v>369</v>
      </c>
      <c r="C110" s="108" t="s">
        <v>249</v>
      </c>
      <c r="D110" s="179">
        <v>1.17008</v>
      </c>
    </row>
    <row r="111" spans="1:4" x14ac:dyDescent="0.2">
      <c r="A111" s="108" t="s">
        <v>370</v>
      </c>
      <c r="B111" s="108" t="s">
        <v>371</v>
      </c>
      <c r="C111" s="108" t="s">
        <v>177</v>
      </c>
      <c r="D111" s="179">
        <v>5.2694999999999999E-2</v>
      </c>
    </row>
    <row r="112" spans="1:4" x14ac:dyDescent="0.2">
      <c r="A112" s="108" t="s">
        <v>372</v>
      </c>
      <c r="B112" s="108" t="s">
        <v>373</v>
      </c>
      <c r="C112" s="108" t="s">
        <v>134</v>
      </c>
      <c r="D112" s="179">
        <v>-0.18285199999999999</v>
      </c>
    </row>
    <row r="113" spans="1:4" x14ac:dyDescent="0.2">
      <c r="A113" s="108" t="s">
        <v>374</v>
      </c>
      <c r="B113" s="108" t="s">
        <v>375</v>
      </c>
      <c r="C113" s="108" t="s">
        <v>171</v>
      </c>
      <c r="D113" s="179">
        <v>0.273507</v>
      </c>
    </row>
    <row r="114" spans="1:4" x14ac:dyDescent="0.2">
      <c r="A114" s="108" t="s">
        <v>376</v>
      </c>
      <c r="B114" s="108" t="s">
        <v>377</v>
      </c>
      <c r="C114" s="108" t="s">
        <v>177</v>
      </c>
      <c r="D114" s="179">
        <v>7.4186000000000002E-2</v>
      </c>
    </row>
    <row r="115" spans="1:4" x14ac:dyDescent="0.2">
      <c r="A115" s="108" t="s">
        <v>378</v>
      </c>
      <c r="B115" s="108" t="s">
        <v>379</v>
      </c>
      <c r="C115" s="108" t="s">
        <v>217</v>
      </c>
      <c r="D115" s="179">
        <v>1.2356050000000001</v>
      </c>
    </row>
    <row r="116" spans="1:4" x14ac:dyDescent="0.2">
      <c r="A116" s="108" t="s">
        <v>380</v>
      </c>
      <c r="B116" s="108" t="s">
        <v>381</v>
      </c>
      <c r="C116" s="108" t="s">
        <v>146</v>
      </c>
      <c r="D116" s="179">
        <v>-0.383407</v>
      </c>
    </row>
    <row r="117" spans="1:4" x14ac:dyDescent="0.2">
      <c r="A117" s="108" t="s">
        <v>382</v>
      </c>
      <c r="B117" s="108" t="s">
        <v>383</v>
      </c>
      <c r="C117" s="108" t="s">
        <v>171</v>
      </c>
      <c r="D117" s="179">
        <v>-0.28817500000000001</v>
      </c>
    </row>
    <row r="118" spans="1:4" x14ac:dyDescent="0.2">
      <c r="A118" s="108" t="s">
        <v>384</v>
      </c>
      <c r="B118" s="108" t="s">
        <v>385</v>
      </c>
      <c r="C118" s="108" t="s">
        <v>249</v>
      </c>
      <c r="D118" s="179">
        <v>0.147259</v>
      </c>
    </row>
    <row r="119" spans="1:4" x14ac:dyDescent="0.2">
      <c r="A119" s="108" t="s">
        <v>386</v>
      </c>
      <c r="B119" s="108" t="s">
        <v>387</v>
      </c>
      <c r="C119" s="108" t="s">
        <v>217</v>
      </c>
      <c r="D119" s="179">
        <v>0.25003500000000001</v>
      </c>
    </row>
    <row r="120" spans="1:4" x14ac:dyDescent="0.2">
      <c r="A120" s="108" t="s">
        <v>388</v>
      </c>
      <c r="B120" s="108" t="s">
        <v>389</v>
      </c>
      <c r="C120" s="108" t="s">
        <v>171</v>
      </c>
      <c r="D120" s="179">
        <v>0.33014899999999997</v>
      </c>
    </row>
    <row r="121" spans="1:4" x14ac:dyDescent="0.2">
      <c r="A121" s="108" t="s">
        <v>390</v>
      </c>
      <c r="B121" s="108" t="s">
        <v>391</v>
      </c>
      <c r="C121" s="108" t="s">
        <v>167</v>
      </c>
      <c r="D121" s="179">
        <v>-5.9655000000000007E-2</v>
      </c>
    </row>
    <row r="122" spans="1:4" x14ac:dyDescent="0.2">
      <c r="A122" s="108" t="s">
        <v>392</v>
      </c>
      <c r="B122" s="108" t="s">
        <v>393</v>
      </c>
      <c r="C122" s="108" t="s">
        <v>134</v>
      </c>
      <c r="D122" s="179">
        <v>6.6026000000000001E-2</v>
      </c>
    </row>
    <row r="123" spans="1:4" x14ac:dyDescent="0.2">
      <c r="A123" s="108" t="s">
        <v>394</v>
      </c>
      <c r="B123" s="108" t="s">
        <v>395</v>
      </c>
      <c r="C123" s="108" t="s">
        <v>134</v>
      </c>
      <c r="D123" s="179">
        <v>-7.3075000000000001E-2</v>
      </c>
    </row>
    <row r="124" spans="1:4" x14ac:dyDescent="0.2">
      <c r="A124" s="108" t="s">
        <v>396</v>
      </c>
      <c r="B124" s="108" t="s">
        <v>397</v>
      </c>
      <c r="C124" s="108" t="s">
        <v>134</v>
      </c>
      <c r="D124" s="179">
        <v>-9.5180000000000004E-3</v>
      </c>
    </row>
    <row r="125" spans="1:4" x14ac:dyDescent="0.2">
      <c r="A125" s="108" t="s">
        <v>398</v>
      </c>
      <c r="B125" s="108" t="s">
        <v>399</v>
      </c>
      <c r="C125" s="108" t="s">
        <v>296</v>
      </c>
      <c r="D125" s="179">
        <v>0.29305800000000004</v>
      </c>
    </row>
    <row r="126" spans="1:4" x14ac:dyDescent="0.2">
      <c r="A126" s="108" t="s">
        <v>400</v>
      </c>
      <c r="B126" s="108" t="s">
        <v>401</v>
      </c>
      <c r="C126" s="108" t="s">
        <v>171</v>
      </c>
      <c r="D126" s="179">
        <v>-0.143541</v>
      </c>
    </row>
    <row r="127" spans="1:4" x14ac:dyDescent="0.2">
      <c r="A127" s="108" t="s">
        <v>402</v>
      </c>
      <c r="B127" s="108" t="s">
        <v>403</v>
      </c>
      <c r="C127" s="108" t="s">
        <v>171</v>
      </c>
      <c r="D127" s="179">
        <v>-4.4434000000000001E-2</v>
      </c>
    </row>
    <row r="128" spans="1:4" x14ac:dyDescent="0.2">
      <c r="A128" s="108" t="s">
        <v>404</v>
      </c>
      <c r="B128" s="108" t="s">
        <v>405</v>
      </c>
      <c r="C128" s="108" t="s">
        <v>134</v>
      </c>
      <c r="D128" s="179">
        <v>-0.12026999999999999</v>
      </c>
    </row>
    <row r="129" spans="1:4" x14ac:dyDescent="0.2">
      <c r="A129" s="108" t="s">
        <v>406</v>
      </c>
      <c r="B129" s="108" t="s">
        <v>407</v>
      </c>
      <c r="C129" s="108" t="s">
        <v>249</v>
      </c>
      <c r="D129" s="179">
        <v>-0.54825000000000002</v>
      </c>
    </row>
    <row r="130" spans="1:4" x14ac:dyDescent="0.2">
      <c r="A130" s="108" t="s">
        <v>408</v>
      </c>
      <c r="B130" s="108" t="s">
        <v>409</v>
      </c>
      <c r="C130" s="108" t="s">
        <v>134</v>
      </c>
      <c r="D130" s="179">
        <v>0.40517600000000004</v>
      </c>
    </row>
    <row r="131" spans="1:4" x14ac:dyDescent="0.2">
      <c r="A131" s="108" t="s">
        <v>410</v>
      </c>
      <c r="B131" s="108" t="s">
        <v>411</v>
      </c>
      <c r="C131" s="108" t="s">
        <v>134</v>
      </c>
      <c r="D131" s="179">
        <v>-0.30782199999999998</v>
      </c>
    </row>
    <row r="132" spans="1:4" x14ac:dyDescent="0.2">
      <c r="A132" s="108" t="s">
        <v>412</v>
      </c>
      <c r="B132" s="108" t="s">
        <v>413</v>
      </c>
      <c r="C132" s="108" t="s">
        <v>146</v>
      </c>
      <c r="D132" s="179">
        <v>0.18381599999999998</v>
      </c>
    </row>
    <row r="133" spans="1:4" x14ac:dyDescent="0.2">
      <c r="A133" s="108" t="s">
        <v>414</v>
      </c>
      <c r="B133" s="108" t="s">
        <v>415</v>
      </c>
      <c r="C133" s="108" t="s">
        <v>171</v>
      </c>
      <c r="D133" s="179">
        <v>0.29339200000000004</v>
      </c>
    </row>
    <row r="134" spans="1:4" x14ac:dyDescent="0.2">
      <c r="A134" s="108" t="s">
        <v>416</v>
      </c>
      <c r="B134" s="108" t="s">
        <v>417</v>
      </c>
      <c r="C134" s="108" t="s">
        <v>217</v>
      </c>
      <c r="D134" s="179">
        <v>0.300014</v>
      </c>
    </row>
    <row r="135" spans="1:4" x14ac:dyDescent="0.2">
      <c r="A135" s="108" t="s">
        <v>418</v>
      </c>
      <c r="B135" s="108" t="s">
        <v>419</v>
      </c>
      <c r="C135" s="108" t="s">
        <v>177</v>
      </c>
      <c r="D135" s="179">
        <v>0.16674600000000001</v>
      </c>
    </row>
    <row r="136" spans="1:4" x14ac:dyDescent="0.2">
      <c r="A136" s="108" t="s">
        <v>420</v>
      </c>
      <c r="B136" s="108" t="s">
        <v>421</v>
      </c>
      <c r="C136" s="108" t="s">
        <v>137</v>
      </c>
      <c r="D136" s="179">
        <v>-6.3642000000000004E-2</v>
      </c>
    </row>
    <row r="137" spans="1:4" x14ac:dyDescent="0.2">
      <c r="A137" s="108" t="s">
        <v>422</v>
      </c>
      <c r="B137" s="108" t="s">
        <v>423</v>
      </c>
      <c r="C137" s="108" t="s">
        <v>171</v>
      </c>
      <c r="D137" s="179">
        <v>-0.45839299999999999</v>
      </c>
    </row>
    <row r="138" spans="1:4" x14ac:dyDescent="0.2">
      <c r="A138" s="108" t="s">
        <v>424</v>
      </c>
      <c r="B138" s="108" t="s">
        <v>425</v>
      </c>
      <c r="C138" s="108" t="s">
        <v>249</v>
      </c>
      <c r="D138" s="179">
        <v>0.97875200000000007</v>
      </c>
    </row>
    <row r="139" spans="1:4" x14ac:dyDescent="0.2">
      <c r="A139" s="108" t="s">
        <v>426</v>
      </c>
      <c r="B139" s="108" t="s">
        <v>427</v>
      </c>
      <c r="C139" s="108" t="s">
        <v>134</v>
      </c>
      <c r="D139" s="179">
        <v>-2.3117000000000002E-2</v>
      </c>
    </row>
    <row r="140" spans="1:4" x14ac:dyDescent="0.2">
      <c r="A140" s="108" t="s">
        <v>428</v>
      </c>
      <c r="B140" s="108" t="s">
        <v>429</v>
      </c>
      <c r="C140" s="108" t="s">
        <v>167</v>
      </c>
      <c r="D140" s="179">
        <v>-3.3585999999999998E-2</v>
      </c>
    </row>
    <row r="141" spans="1:4" x14ac:dyDescent="0.2">
      <c r="A141" s="108" t="s">
        <v>430</v>
      </c>
      <c r="B141" s="108" t="s">
        <v>431</v>
      </c>
      <c r="C141" s="108" t="s">
        <v>171</v>
      </c>
      <c r="D141" s="179">
        <v>0</v>
      </c>
    </row>
    <row r="142" spans="1:4" x14ac:dyDescent="0.2">
      <c r="A142" s="108" t="s">
        <v>432</v>
      </c>
      <c r="B142" s="108" t="s">
        <v>433</v>
      </c>
      <c r="C142" s="108" t="s">
        <v>141</v>
      </c>
      <c r="D142" s="179">
        <v>5.6599999999999992E-3</v>
      </c>
    </row>
    <row r="143" spans="1:4" x14ac:dyDescent="0.2">
      <c r="A143" s="108" t="s">
        <v>434</v>
      </c>
      <c r="B143" s="108" t="s">
        <v>435</v>
      </c>
      <c r="C143" s="108" t="s">
        <v>249</v>
      </c>
      <c r="D143" s="179">
        <v>-0.48018099999999997</v>
      </c>
    </row>
    <row r="144" spans="1:4" x14ac:dyDescent="0.2">
      <c r="A144" s="108" t="s">
        <v>436</v>
      </c>
      <c r="B144" s="108" t="s">
        <v>437</v>
      </c>
      <c r="C144" s="108" t="s">
        <v>134</v>
      </c>
      <c r="D144" s="179">
        <v>0.212728</v>
      </c>
    </row>
    <row r="145" spans="1:4" x14ac:dyDescent="0.2">
      <c r="A145" s="108" t="s">
        <v>32</v>
      </c>
      <c r="B145" s="108" t="s">
        <v>438</v>
      </c>
      <c r="C145" s="108" t="s">
        <v>171</v>
      </c>
      <c r="D145" s="179">
        <v>-3.5026000000000002E-2</v>
      </c>
    </row>
    <row r="146" spans="1:4" x14ac:dyDescent="0.2">
      <c r="A146" s="108" t="s">
        <v>439</v>
      </c>
      <c r="B146" s="108" t="s">
        <v>440</v>
      </c>
      <c r="C146" s="108" t="s">
        <v>171</v>
      </c>
      <c r="D146" s="179">
        <v>0.60473699999999997</v>
      </c>
    </row>
    <row r="147" spans="1:4" x14ac:dyDescent="0.2">
      <c r="A147" s="108" t="s">
        <v>441</v>
      </c>
      <c r="B147" s="108" t="s">
        <v>442</v>
      </c>
      <c r="C147" s="108" t="s">
        <v>249</v>
      </c>
      <c r="D147" s="179">
        <v>-4.4063999999999999E-2</v>
      </c>
    </row>
    <row r="148" spans="1:4" x14ac:dyDescent="0.2">
      <c r="A148" s="108" t="s">
        <v>443</v>
      </c>
      <c r="B148" s="108" t="s">
        <v>444</v>
      </c>
      <c r="C148" s="108" t="s">
        <v>137</v>
      </c>
      <c r="D148" s="179">
        <v>2.8947000000000004E-2</v>
      </c>
    </row>
    <row r="149" spans="1:4" x14ac:dyDescent="0.2">
      <c r="A149" s="108" t="s">
        <v>445</v>
      </c>
      <c r="B149" s="108" t="s">
        <v>446</v>
      </c>
      <c r="C149" s="108" t="s">
        <v>171</v>
      </c>
      <c r="D149" s="179">
        <v>-0.29549399999999998</v>
      </c>
    </row>
    <row r="150" spans="1:4" x14ac:dyDescent="0.2">
      <c r="A150" s="108" t="s">
        <v>447</v>
      </c>
      <c r="B150" s="108" t="s">
        <v>448</v>
      </c>
      <c r="C150" s="108" t="s">
        <v>177</v>
      </c>
      <c r="D150" s="179">
        <v>-4.8131000000000007E-2</v>
      </c>
    </row>
    <row r="151" spans="1:4" x14ac:dyDescent="0.2">
      <c r="A151" s="108" t="s">
        <v>449</v>
      </c>
      <c r="B151" s="108" t="s">
        <v>450</v>
      </c>
      <c r="C151" s="108" t="s">
        <v>171</v>
      </c>
      <c r="D151" s="179">
        <v>-7.2974999999999998E-2</v>
      </c>
    </row>
    <row r="152" spans="1:4" x14ac:dyDescent="0.2">
      <c r="A152" s="108" t="s">
        <v>451</v>
      </c>
      <c r="B152" s="108" t="s">
        <v>452</v>
      </c>
      <c r="C152" s="108" t="s">
        <v>177</v>
      </c>
      <c r="D152" s="179">
        <v>8.7665000000000007E-2</v>
      </c>
    </row>
    <row r="153" spans="1:4" x14ac:dyDescent="0.2">
      <c r="A153" s="108" t="s">
        <v>453</v>
      </c>
      <c r="B153" s="108" t="s">
        <v>454</v>
      </c>
      <c r="C153" s="108" t="s">
        <v>217</v>
      </c>
      <c r="D153" s="179">
        <v>0.33378100000000005</v>
      </c>
    </row>
    <row r="154" spans="1:4" x14ac:dyDescent="0.2">
      <c r="A154" s="108" t="s">
        <v>455</v>
      </c>
      <c r="B154" s="108" t="s">
        <v>456</v>
      </c>
      <c r="C154" s="108" t="s">
        <v>177</v>
      </c>
      <c r="D154" s="179">
        <v>-1.3812E-2</v>
      </c>
    </row>
    <row r="155" spans="1:4" x14ac:dyDescent="0.2">
      <c r="A155" s="108" t="s">
        <v>457</v>
      </c>
      <c r="B155" s="108" t="s">
        <v>458</v>
      </c>
      <c r="C155" s="108" t="s">
        <v>171</v>
      </c>
      <c r="D155" s="179">
        <v>0.103758</v>
      </c>
    </row>
    <row r="156" spans="1:4" x14ac:dyDescent="0.2">
      <c r="A156" s="108" t="s">
        <v>459</v>
      </c>
      <c r="B156" s="108" t="s">
        <v>460</v>
      </c>
      <c r="C156" s="108" t="s">
        <v>167</v>
      </c>
      <c r="D156" s="179">
        <v>0.14347300000000002</v>
      </c>
    </row>
    <row r="157" spans="1:4" x14ac:dyDescent="0.2">
      <c r="A157" s="108" t="s">
        <v>461</v>
      </c>
      <c r="B157" s="108" t="s">
        <v>462</v>
      </c>
      <c r="C157" s="108" t="s">
        <v>177</v>
      </c>
      <c r="D157" s="179">
        <v>6.4489000000000005E-2</v>
      </c>
    </row>
    <row r="158" spans="1:4" x14ac:dyDescent="0.2">
      <c r="A158" s="108" t="s">
        <v>463</v>
      </c>
      <c r="B158" s="108" t="s">
        <v>464</v>
      </c>
      <c r="C158" s="108" t="s">
        <v>134</v>
      </c>
      <c r="D158" s="179">
        <v>0</v>
      </c>
    </row>
    <row r="159" spans="1:4" x14ac:dyDescent="0.2">
      <c r="A159" s="108" t="s">
        <v>465</v>
      </c>
      <c r="B159" s="108" t="s">
        <v>466</v>
      </c>
      <c r="C159" s="108" t="s">
        <v>171</v>
      </c>
      <c r="D159" s="179">
        <v>-0.100493</v>
      </c>
    </row>
    <row r="160" spans="1:4" x14ac:dyDescent="0.2">
      <c r="A160" s="108" t="s">
        <v>467</v>
      </c>
      <c r="B160" s="108" t="s">
        <v>468</v>
      </c>
      <c r="C160" s="108" t="s">
        <v>177</v>
      </c>
      <c r="D160" s="179">
        <v>0.199318</v>
      </c>
    </row>
    <row r="161" spans="1:4" x14ac:dyDescent="0.2">
      <c r="A161" s="108" t="s">
        <v>469</v>
      </c>
      <c r="B161" s="108" t="s">
        <v>470</v>
      </c>
      <c r="C161" s="108" t="s">
        <v>134</v>
      </c>
      <c r="D161" s="179">
        <v>-0.13294599999999998</v>
      </c>
    </row>
    <row r="162" spans="1:4" x14ac:dyDescent="0.2">
      <c r="A162" s="108" t="s">
        <v>471</v>
      </c>
      <c r="B162" s="108" t="s">
        <v>472</v>
      </c>
      <c r="C162" s="108" t="s">
        <v>167</v>
      </c>
      <c r="D162" s="179">
        <v>8.1822999999999993E-2</v>
      </c>
    </row>
    <row r="163" spans="1:4" x14ac:dyDescent="0.2">
      <c r="A163" s="108" t="s">
        <v>473</v>
      </c>
      <c r="B163" s="108" t="s">
        <v>474</v>
      </c>
      <c r="C163" s="108" t="s">
        <v>134</v>
      </c>
      <c r="D163" s="179">
        <v>0.40378799999999998</v>
      </c>
    </row>
    <row r="164" spans="1:4" x14ac:dyDescent="0.2">
      <c r="A164" s="108" t="s">
        <v>475</v>
      </c>
      <c r="B164" s="108" t="s">
        <v>476</v>
      </c>
      <c r="C164" s="108" t="s">
        <v>137</v>
      </c>
      <c r="D164" s="179">
        <v>5.9686000000000003E-2</v>
      </c>
    </row>
    <row r="165" spans="1:4" x14ac:dyDescent="0.2">
      <c r="A165" s="108" t="s">
        <v>477</v>
      </c>
      <c r="B165" s="108" t="s">
        <v>478</v>
      </c>
      <c r="C165" s="108" t="s">
        <v>134</v>
      </c>
      <c r="D165" s="179">
        <v>0.30976400000000004</v>
      </c>
    </row>
    <row r="166" spans="1:4" x14ac:dyDescent="0.2">
      <c r="A166" s="108" t="s">
        <v>479</v>
      </c>
      <c r="B166" s="108" t="s">
        <v>480</v>
      </c>
      <c r="C166" s="108" t="s">
        <v>217</v>
      </c>
      <c r="D166" s="179">
        <v>0.43442799999999998</v>
      </c>
    </row>
    <row r="167" spans="1:4" x14ac:dyDescent="0.2">
      <c r="A167" s="108" t="s">
        <v>481</v>
      </c>
      <c r="B167" s="108" t="s">
        <v>482</v>
      </c>
      <c r="C167" s="108" t="s">
        <v>171</v>
      </c>
      <c r="D167" s="179">
        <v>0.15154699999999999</v>
      </c>
    </row>
    <row r="168" spans="1:4" x14ac:dyDescent="0.2">
      <c r="A168" s="108" t="s">
        <v>483</v>
      </c>
      <c r="B168" s="108" t="s">
        <v>484</v>
      </c>
      <c r="C168" s="108" t="s">
        <v>177</v>
      </c>
      <c r="D168" s="179">
        <v>0.13874300000000001</v>
      </c>
    </row>
    <row r="169" spans="1:4" x14ac:dyDescent="0.2">
      <c r="A169" s="108" t="s">
        <v>485</v>
      </c>
      <c r="B169" s="108" t="s">
        <v>486</v>
      </c>
      <c r="C169" s="108" t="s">
        <v>171</v>
      </c>
      <c r="D169" s="179">
        <v>-1.2461999999999999E-2</v>
      </c>
    </row>
    <row r="170" spans="1:4" x14ac:dyDescent="0.2">
      <c r="A170" s="108" t="s">
        <v>487</v>
      </c>
      <c r="B170" s="108" t="s">
        <v>488</v>
      </c>
      <c r="C170" s="108" t="s">
        <v>171</v>
      </c>
      <c r="D170" s="179">
        <v>-0.244532</v>
      </c>
    </row>
    <row r="171" spans="1:4" x14ac:dyDescent="0.2">
      <c r="A171" s="108" t="s">
        <v>489</v>
      </c>
      <c r="B171" s="108" t="s">
        <v>490</v>
      </c>
      <c r="C171" s="108" t="s">
        <v>134</v>
      </c>
      <c r="D171" s="179">
        <v>0.15984899999999999</v>
      </c>
    </row>
    <row r="172" spans="1:4" x14ac:dyDescent="0.2">
      <c r="A172" s="108" t="s">
        <v>491</v>
      </c>
      <c r="B172" s="108" t="s">
        <v>492</v>
      </c>
      <c r="C172" s="108" t="s">
        <v>141</v>
      </c>
      <c r="D172" s="179">
        <v>1.0391060000000001</v>
      </c>
    </row>
    <row r="173" spans="1:4" x14ac:dyDescent="0.2">
      <c r="A173" s="108" t="s">
        <v>493</v>
      </c>
      <c r="B173" s="108" t="s">
        <v>494</v>
      </c>
      <c r="C173" s="108" t="s">
        <v>146</v>
      </c>
      <c r="D173" s="179">
        <v>0</v>
      </c>
    </row>
    <row r="174" spans="1:4" x14ac:dyDescent="0.2">
      <c r="A174" s="108" t="s">
        <v>495</v>
      </c>
      <c r="B174" s="108" t="s">
        <v>496</v>
      </c>
      <c r="C174" s="108" t="s">
        <v>134</v>
      </c>
      <c r="D174" s="179">
        <v>0.31314900000000001</v>
      </c>
    </row>
    <row r="175" spans="1:4" x14ac:dyDescent="0.2">
      <c r="A175" s="108" t="s">
        <v>497</v>
      </c>
      <c r="B175" s="108" t="s">
        <v>498</v>
      </c>
      <c r="C175" s="108" t="s">
        <v>177</v>
      </c>
      <c r="D175" s="179">
        <v>0.32257399999999997</v>
      </c>
    </row>
    <row r="176" spans="1:4" x14ac:dyDescent="0.2">
      <c r="A176" s="108" t="s">
        <v>499</v>
      </c>
      <c r="B176" s="108" t="s">
        <v>500</v>
      </c>
      <c r="C176" s="108" t="s">
        <v>177</v>
      </c>
      <c r="D176" s="179">
        <v>0.34755200000000003</v>
      </c>
    </row>
    <row r="177" spans="1:4" x14ac:dyDescent="0.2">
      <c r="A177" s="108" t="s">
        <v>501</v>
      </c>
      <c r="B177" s="108" t="s">
        <v>502</v>
      </c>
      <c r="C177" s="108" t="s">
        <v>261</v>
      </c>
      <c r="D177" s="179">
        <v>-0.10386200000000001</v>
      </c>
    </row>
    <row r="178" spans="1:4" x14ac:dyDescent="0.2">
      <c r="A178" s="108" t="s">
        <v>503</v>
      </c>
      <c r="B178" s="108" t="s">
        <v>504</v>
      </c>
      <c r="C178" s="108" t="s">
        <v>137</v>
      </c>
      <c r="D178" s="179">
        <v>0.86057799999999995</v>
      </c>
    </row>
    <row r="179" spans="1:4" x14ac:dyDescent="0.2">
      <c r="A179" s="108" t="s">
        <v>505</v>
      </c>
      <c r="B179" s="108" t="s">
        <v>506</v>
      </c>
      <c r="C179" s="108" t="s">
        <v>134</v>
      </c>
      <c r="D179" s="179">
        <v>0.33346400000000004</v>
      </c>
    </row>
    <row r="180" spans="1:4" x14ac:dyDescent="0.2">
      <c r="A180" s="108" t="s">
        <v>507</v>
      </c>
      <c r="B180" s="108" t="s">
        <v>508</v>
      </c>
      <c r="C180" s="108" t="s">
        <v>171</v>
      </c>
      <c r="D180" s="179">
        <v>-0.32867400000000002</v>
      </c>
    </row>
    <row r="181" spans="1:4" x14ac:dyDescent="0.2">
      <c r="A181" s="108" t="s">
        <v>509</v>
      </c>
      <c r="B181" s="108" t="s">
        <v>510</v>
      </c>
      <c r="C181" s="108" t="s">
        <v>296</v>
      </c>
      <c r="D181" s="179">
        <v>-0.17547399999999999</v>
      </c>
    </row>
    <row r="182" spans="1:4" x14ac:dyDescent="0.2">
      <c r="A182" s="108" t="s">
        <v>511</v>
      </c>
      <c r="B182" s="108" t="s">
        <v>512</v>
      </c>
      <c r="C182" s="108" t="s">
        <v>177</v>
      </c>
      <c r="D182" s="179">
        <v>0.23283599999999999</v>
      </c>
    </row>
    <row r="183" spans="1:4" x14ac:dyDescent="0.2">
      <c r="A183" s="108" t="s">
        <v>513</v>
      </c>
      <c r="B183" s="108" t="s">
        <v>514</v>
      </c>
      <c r="C183" s="108" t="s">
        <v>146</v>
      </c>
      <c r="D183" s="179">
        <v>-0.52249899999999994</v>
      </c>
    </row>
    <row r="184" spans="1:4" x14ac:dyDescent="0.2">
      <c r="A184" s="108" t="s">
        <v>515</v>
      </c>
      <c r="B184" s="108" t="s">
        <v>516</v>
      </c>
      <c r="C184" s="108" t="s">
        <v>146</v>
      </c>
      <c r="D184" s="179">
        <v>0.242451</v>
      </c>
    </row>
    <row r="185" spans="1:4" x14ac:dyDescent="0.2">
      <c r="A185" s="108" t="s">
        <v>517</v>
      </c>
      <c r="B185" s="108" t="s">
        <v>518</v>
      </c>
      <c r="C185" s="108" t="s">
        <v>146</v>
      </c>
      <c r="D185" s="179">
        <v>4.2404999999999998E-2</v>
      </c>
    </row>
    <row r="186" spans="1:4" x14ac:dyDescent="0.2">
      <c r="A186" s="108" t="s">
        <v>519</v>
      </c>
      <c r="B186" s="108" t="s">
        <v>520</v>
      </c>
      <c r="C186" s="108" t="s">
        <v>134</v>
      </c>
      <c r="D186" s="179">
        <v>5.8565000000000006E-2</v>
      </c>
    </row>
    <row r="187" spans="1:4" x14ac:dyDescent="0.2">
      <c r="A187" s="108" t="s">
        <v>521</v>
      </c>
      <c r="B187" s="108" t="s">
        <v>522</v>
      </c>
      <c r="C187" s="108" t="s">
        <v>146</v>
      </c>
      <c r="D187" s="179">
        <v>-0.34449099999999999</v>
      </c>
    </row>
    <row r="188" spans="1:4" x14ac:dyDescent="0.2">
      <c r="A188" s="108" t="s">
        <v>523</v>
      </c>
      <c r="B188" s="108" t="s">
        <v>524</v>
      </c>
      <c r="C188" s="108" t="s">
        <v>249</v>
      </c>
      <c r="D188" s="179">
        <v>0.794489</v>
      </c>
    </row>
    <row r="189" spans="1:4" x14ac:dyDescent="0.2">
      <c r="A189" s="108" t="s">
        <v>525</v>
      </c>
      <c r="B189" s="108" t="s">
        <v>526</v>
      </c>
      <c r="C189" s="108" t="s">
        <v>146</v>
      </c>
      <c r="D189" s="179">
        <v>-0.29483100000000001</v>
      </c>
    </row>
    <row r="190" spans="1:4" x14ac:dyDescent="0.2">
      <c r="A190" s="108" t="s">
        <v>527</v>
      </c>
      <c r="B190" s="108" t="s">
        <v>528</v>
      </c>
      <c r="C190" s="108" t="s">
        <v>249</v>
      </c>
      <c r="D190" s="179">
        <v>-0.13362199999999999</v>
      </c>
    </row>
    <row r="191" spans="1:4" x14ac:dyDescent="0.2">
      <c r="A191" s="108" t="s">
        <v>529</v>
      </c>
      <c r="B191" s="108" t="s">
        <v>530</v>
      </c>
      <c r="C191" s="108" t="s">
        <v>177</v>
      </c>
      <c r="D191" s="179">
        <v>0</v>
      </c>
    </row>
    <row r="192" spans="1:4" x14ac:dyDescent="0.2">
      <c r="A192" s="108" t="s">
        <v>531</v>
      </c>
      <c r="B192" s="108" t="s">
        <v>532</v>
      </c>
      <c r="C192" s="108" t="s">
        <v>146</v>
      </c>
      <c r="D192" s="179">
        <v>-0.47245899999999996</v>
      </c>
    </row>
    <row r="193" spans="1:4" x14ac:dyDescent="0.2">
      <c r="A193" s="108" t="s">
        <v>533</v>
      </c>
      <c r="B193" s="108" t="s">
        <v>534</v>
      </c>
      <c r="C193" s="108" t="s">
        <v>141</v>
      </c>
      <c r="D193" s="179">
        <v>-0.279644</v>
      </c>
    </row>
    <row r="194" spans="1:4" x14ac:dyDescent="0.2">
      <c r="A194" s="108" t="s">
        <v>535</v>
      </c>
      <c r="B194" s="108" t="s">
        <v>536</v>
      </c>
      <c r="C194" s="108" t="s">
        <v>171</v>
      </c>
      <c r="D194" s="179">
        <v>-4.4536999999999993E-2</v>
      </c>
    </row>
    <row r="195" spans="1:4" x14ac:dyDescent="0.2">
      <c r="A195" s="108" t="s">
        <v>537</v>
      </c>
      <c r="B195" s="108" t="s">
        <v>538</v>
      </c>
      <c r="C195" s="108" t="s">
        <v>177</v>
      </c>
      <c r="D195" s="179">
        <v>-5.5342000000000002E-2</v>
      </c>
    </row>
    <row r="196" spans="1:4" x14ac:dyDescent="0.2">
      <c r="A196" s="108" t="s">
        <v>539</v>
      </c>
      <c r="B196" s="108" t="s">
        <v>540</v>
      </c>
      <c r="C196" s="108" t="s">
        <v>171</v>
      </c>
      <c r="D196" s="179">
        <v>-0.33145899999999995</v>
      </c>
    </row>
    <row r="197" spans="1:4" x14ac:dyDescent="0.2">
      <c r="A197" s="108" t="s">
        <v>541</v>
      </c>
      <c r="B197" s="108" t="s">
        <v>542</v>
      </c>
      <c r="C197" s="108" t="s">
        <v>134</v>
      </c>
      <c r="D197" s="179">
        <v>0.21170100000000003</v>
      </c>
    </row>
    <row r="198" spans="1:4" x14ac:dyDescent="0.2">
      <c r="A198" s="108" t="s">
        <v>543</v>
      </c>
      <c r="B198" s="108" t="s">
        <v>544</v>
      </c>
      <c r="C198" s="108" t="s">
        <v>146</v>
      </c>
      <c r="D198" s="179">
        <v>2.7143E-2</v>
      </c>
    </row>
    <row r="199" spans="1:4" x14ac:dyDescent="0.2">
      <c r="A199" s="108" t="s">
        <v>545</v>
      </c>
      <c r="B199" s="108" t="s">
        <v>546</v>
      </c>
      <c r="C199" s="108" t="s">
        <v>141</v>
      </c>
      <c r="D199" s="179">
        <v>0.20883400000000002</v>
      </c>
    </row>
    <row r="200" spans="1:4" x14ac:dyDescent="0.2">
      <c r="A200" s="108" t="s">
        <v>547</v>
      </c>
      <c r="B200" s="108" t="s">
        <v>548</v>
      </c>
      <c r="C200" s="108" t="s">
        <v>141</v>
      </c>
      <c r="D200" s="179">
        <v>0.41721900000000001</v>
      </c>
    </row>
    <row r="201" spans="1:4" x14ac:dyDescent="0.2">
      <c r="A201" s="108" t="s">
        <v>549</v>
      </c>
      <c r="B201" s="108" t="s">
        <v>550</v>
      </c>
      <c r="C201" s="108" t="s">
        <v>167</v>
      </c>
      <c r="D201" s="179">
        <v>1.5972E-2</v>
      </c>
    </row>
    <row r="202" spans="1:4" x14ac:dyDescent="0.2">
      <c r="A202" s="108" t="s">
        <v>551</v>
      </c>
      <c r="B202" s="108" t="s">
        <v>552</v>
      </c>
      <c r="C202" s="108" t="s">
        <v>167</v>
      </c>
      <c r="D202" s="179">
        <v>0.287547</v>
      </c>
    </row>
    <row r="203" spans="1:4" x14ac:dyDescent="0.2">
      <c r="A203" s="108" t="s">
        <v>553</v>
      </c>
      <c r="B203" s="108" t="s">
        <v>554</v>
      </c>
      <c r="C203" s="108" t="s">
        <v>146</v>
      </c>
      <c r="D203" s="179">
        <v>-0.24525</v>
      </c>
    </row>
    <row r="204" spans="1:4" x14ac:dyDescent="0.2">
      <c r="A204" s="108" t="s">
        <v>113</v>
      </c>
      <c r="B204" s="108" t="s">
        <v>555</v>
      </c>
      <c r="C204" s="108" t="s">
        <v>134</v>
      </c>
      <c r="D204" s="179">
        <v>0.50165000000000004</v>
      </c>
    </row>
    <row r="205" spans="1:4" x14ac:dyDescent="0.2">
      <c r="A205" s="108" t="s">
        <v>556</v>
      </c>
      <c r="B205" s="108" t="s">
        <v>557</v>
      </c>
      <c r="C205" s="108" t="s">
        <v>261</v>
      </c>
      <c r="D205" s="179">
        <v>6.9579999999999998E-3</v>
      </c>
    </row>
    <row r="206" spans="1:4" x14ac:dyDescent="0.2">
      <c r="A206" s="108" t="s">
        <v>558</v>
      </c>
      <c r="B206" s="108" t="s">
        <v>559</v>
      </c>
      <c r="C206" s="108" t="s">
        <v>171</v>
      </c>
      <c r="D206" s="179">
        <v>0.10359</v>
      </c>
    </row>
    <row r="207" spans="1:4" x14ac:dyDescent="0.2">
      <c r="A207" s="108" t="s">
        <v>560</v>
      </c>
      <c r="B207" s="108" t="s">
        <v>561</v>
      </c>
      <c r="C207" s="108" t="s">
        <v>249</v>
      </c>
      <c r="D207" s="179">
        <v>0.56827700000000003</v>
      </c>
    </row>
    <row r="208" spans="1:4" x14ac:dyDescent="0.2">
      <c r="A208" s="108" t="s">
        <v>112</v>
      </c>
      <c r="B208" s="108" t="s">
        <v>562</v>
      </c>
      <c r="C208" s="108" t="s">
        <v>146</v>
      </c>
      <c r="D208" s="179">
        <v>8.5778999999999994E-2</v>
      </c>
    </row>
    <row r="209" spans="1:4" x14ac:dyDescent="0.2">
      <c r="A209" s="108" t="s">
        <v>563</v>
      </c>
      <c r="B209" s="108" t="s">
        <v>564</v>
      </c>
      <c r="C209" s="108" t="s">
        <v>261</v>
      </c>
      <c r="D209" s="179">
        <v>0.34444999999999998</v>
      </c>
    </row>
    <row r="210" spans="1:4" x14ac:dyDescent="0.2">
      <c r="A210" s="108" t="s">
        <v>565</v>
      </c>
      <c r="B210" s="108" t="s">
        <v>566</v>
      </c>
      <c r="C210" s="108" t="s">
        <v>249</v>
      </c>
      <c r="D210" s="179">
        <v>0.27051799999999998</v>
      </c>
    </row>
    <row r="211" spans="1:4" x14ac:dyDescent="0.2">
      <c r="A211" s="108" t="s">
        <v>567</v>
      </c>
      <c r="B211" s="108" t="s">
        <v>568</v>
      </c>
      <c r="C211" s="108" t="s">
        <v>171</v>
      </c>
      <c r="D211" s="179">
        <v>0</v>
      </c>
    </row>
    <row r="212" spans="1:4" x14ac:dyDescent="0.2">
      <c r="A212" s="108" t="s">
        <v>569</v>
      </c>
      <c r="B212" s="108" t="s">
        <v>570</v>
      </c>
      <c r="C212" s="108" t="s">
        <v>217</v>
      </c>
      <c r="D212" s="179">
        <v>0.232045</v>
      </c>
    </row>
    <row r="213" spans="1:4" x14ac:dyDescent="0.2">
      <c r="A213" s="108" t="s">
        <v>571</v>
      </c>
      <c r="B213" s="108" t="s">
        <v>572</v>
      </c>
      <c r="C213" s="108" t="s">
        <v>261</v>
      </c>
      <c r="D213" s="179">
        <v>-0.26173600000000002</v>
      </c>
    </row>
    <row r="214" spans="1:4" x14ac:dyDescent="0.2">
      <c r="A214" s="108" t="s">
        <v>573</v>
      </c>
      <c r="B214" s="108" t="s">
        <v>574</v>
      </c>
      <c r="C214" s="108" t="s">
        <v>261</v>
      </c>
      <c r="D214" s="179">
        <v>-3.9266000000000002E-2</v>
      </c>
    </row>
    <row r="215" spans="1:4" x14ac:dyDescent="0.2">
      <c r="A215" s="108" t="s">
        <v>575</v>
      </c>
      <c r="B215" s="108" t="s">
        <v>576</v>
      </c>
      <c r="C215" s="108" t="s">
        <v>146</v>
      </c>
      <c r="D215" s="179">
        <v>-0.333895</v>
      </c>
    </row>
    <row r="216" spans="1:4" x14ac:dyDescent="0.2">
      <c r="A216" s="108" t="s">
        <v>577</v>
      </c>
      <c r="B216" s="108" t="s">
        <v>578</v>
      </c>
      <c r="C216" s="108" t="s">
        <v>141</v>
      </c>
      <c r="D216" s="179">
        <v>0.43861899999999998</v>
      </c>
    </row>
    <row r="217" spans="1:4" x14ac:dyDescent="0.2">
      <c r="A217" s="108" t="s">
        <v>114</v>
      </c>
      <c r="B217" s="108" t="s">
        <v>579</v>
      </c>
      <c r="C217" s="108" t="s">
        <v>171</v>
      </c>
      <c r="D217" s="179">
        <v>-0.30677299999999996</v>
      </c>
    </row>
    <row r="218" spans="1:4" x14ac:dyDescent="0.2">
      <c r="A218" s="108" t="s">
        <v>580</v>
      </c>
      <c r="B218" s="108" t="s">
        <v>581</v>
      </c>
      <c r="C218" s="108" t="s">
        <v>217</v>
      </c>
      <c r="D218" s="179">
        <v>1.0427679999999999</v>
      </c>
    </row>
    <row r="219" spans="1:4" x14ac:dyDescent="0.2">
      <c r="A219" s="108" t="s">
        <v>582</v>
      </c>
      <c r="B219" s="108" t="s">
        <v>583</v>
      </c>
      <c r="C219" s="108" t="s">
        <v>171</v>
      </c>
      <c r="D219" s="179">
        <v>9.2239000000000002E-2</v>
      </c>
    </row>
    <row r="220" spans="1:4" x14ac:dyDescent="0.2">
      <c r="A220" s="108" t="s">
        <v>584</v>
      </c>
      <c r="B220" s="108" t="s">
        <v>585</v>
      </c>
      <c r="C220" s="108" t="s">
        <v>146</v>
      </c>
      <c r="D220" s="179">
        <v>-4.3832000000000003E-2</v>
      </c>
    </row>
    <row r="221" spans="1:4" x14ac:dyDescent="0.2">
      <c r="A221" s="108" t="s">
        <v>586</v>
      </c>
      <c r="B221" s="108" t="s">
        <v>587</v>
      </c>
      <c r="C221" s="108" t="s">
        <v>171</v>
      </c>
      <c r="D221" s="179">
        <v>0.36389699999999997</v>
      </c>
    </row>
    <row r="222" spans="1:4" x14ac:dyDescent="0.2">
      <c r="A222" s="108" t="s">
        <v>588</v>
      </c>
      <c r="B222" s="108" t="s">
        <v>589</v>
      </c>
      <c r="C222" s="108" t="s">
        <v>141</v>
      </c>
      <c r="D222" s="179">
        <v>-0.24301300000000001</v>
      </c>
    </row>
    <row r="223" spans="1:4" x14ac:dyDescent="0.2">
      <c r="A223" s="108" t="s">
        <v>590</v>
      </c>
      <c r="B223" s="108" t="s">
        <v>591</v>
      </c>
      <c r="C223" s="108" t="s">
        <v>167</v>
      </c>
      <c r="D223" s="179">
        <v>7.0206999999999992E-2</v>
      </c>
    </row>
    <row r="224" spans="1:4" x14ac:dyDescent="0.2">
      <c r="A224" s="108" t="s">
        <v>31</v>
      </c>
      <c r="B224" s="108" t="s">
        <v>592</v>
      </c>
      <c r="C224" s="108" t="s">
        <v>261</v>
      </c>
      <c r="D224" s="179">
        <v>-0.32212299999999999</v>
      </c>
    </row>
    <row r="225" spans="1:4" x14ac:dyDescent="0.2">
      <c r="A225" s="108" t="s">
        <v>593</v>
      </c>
      <c r="B225" s="108" t="s">
        <v>594</v>
      </c>
      <c r="C225" s="108" t="s">
        <v>249</v>
      </c>
      <c r="D225" s="179">
        <v>0.38306800000000002</v>
      </c>
    </row>
    <row r="226" spans="1:4" x14ac:dyDescent="0.2">
      <c r="A226" s="108" t="s">
        <v>595</v>
      </c>
      <c r="B226" s="108" t="s">
        <v>596</v>
      </c>
      <c r="C226" s="108" t="s">
        <v>171</v>
      </c>
      <c r="D226" s="179">
        <v>-0.28111999999999998</v>
      </c>
    </row>
    <row r="227" spans="1:4" x14ac:dyDescent="0.2">
      <c r="A227" s="108" t="s">
        <v>597</v>
      </c>
      <c r="B227" s="108" t="s">
        <v>598</v>
      </c>
      <c r="C227" s="108" t="s">
        <v>137</v>
      </c>
      <c r="D227" s="179">
        <v>7.2499999999999995E-3</v>
      </c>
    </row>
    <row r="228" spans="1:4" x14ac:dyDescent="0.2">
      <c r="A228" s="108" t="s">
        <v>599</v>
      </c>
      <c r="B228" s="108" t="s">
        <v>600</v>
      </c>
      <c r="C228" s="108" t="s">
        <v>134</v>
      </c>
      <c r="D228" s="179">
        <v>0.23330899999999999</v>
      </c>
    </row>
    <row r="229" spans="1:4" x14ac:dyDescent="0.2">
      <c r="A229" s="108" t="s">
        <v>601</v>
      </c>
      <c r="B229" s="108" t="s">
        <v>602</v>
      </c>
      <c r="C229" s="108" t="s">
        <v>171</v>
      </c>
      <c r="D229" s="179">
        <v>-0.16992200000000002</v>
      </c>
    </row>
    <row r="230" spans="1:4" x14ac:dyDescent="0.2">
      <c r="A230" s="108" t="s">
        <v>603</v>
      </c>
      <c r="B230" s="108" t="s">
        <v>604</v>
      </c>
      <c r="C230" s="108" t="s">
        <v>141</v>
      </c>
      <c r="D230" s="179">
        <v>0.26980300000000002</v>
      </c>
    </row>
    <row r="231" spans="1:4" x14ac:dyDescent="0.2">
      <c r="A231" s="108" t="s">
        <v>605</v>
      </c>
      <c r="B231" s="108" t="s">
        <v>606</v>
      </c>
      <c r="C231" s="108" t="s">
        <v>167</v>
      </c>
      <c r="D231" s="179">
        <v>-0.18604399999999999</v>
      </c>
    </row>
    <row r="232" spans="1:4" x14ac:dyDescent="0.2">
      <c r="A232" s="108" t="s">
        <v>607</v>
      </c>
      <c r="B232" s="108" t="s">
        <v>608</v>
      </c>
      <c r="C232" s="108" t="s">
        <v>146</v>
      </c>
      <c r="D232" s="179">
        <v>0.36159799999999997</v>
      </c>
    </row>
    <row r="233" spans="1:4" x14ac:dyDescent="0.2">
      <c r="A233" s="108" t="s">
        <v>609</v>
      </c>
      <c r="B233" s="108" t="s">
        <v>610</v>
      </c>
      <c r="C233" s="108" t="s">
        <v>134</v>
      </c>
      <c r="D233" s="179">
        <v>-0.275565</v>
      </c>
    </row>
    <row r="234" spans="1:4" x14ac:dyDescent="0.2">
      <c r="A234" s="108" t="s">
        <v>162</v>
      </c>
      <c r="B234" s="108" t="s">
        <v>611</v>
      </c>
      <c r="C234" s="108" t="s">
        <v>134</v>
      </c>
      <c r="D234" s="179">
        <v>0.12815200000000002</v>
      </c>
    </row>
    <row r="235" spans="1:4" x14ac:dyDescent="0.2">
      <c r="A235" s="108" t="s">
        <v>612</v>
      </c>
      <c r="B235" s="108" t="s">
        <v>613</v>
      </c>
      <c r="C235" s="108" t="s">
        <v>137</v>
      </c>
      <c r="D235" s="179">
        <v>-3.0509999999999999E-3</v>
      </c>
    </row>
    <row r="236" spans="1:4" x14ac:dyDescent="0.2">
      <c r="A236" s="108" t="s">
        <v>614</v>
      </c>
      <c r="B236" s="108" t="s">
        <v>615</v>
      </c>
      <c r="C236" s="108" t="s">
        <v>261</v>
      </c>
      <c r="D236" s="179">
        <v>-3.7446E-2</v>
      </c>
    </row>
    <row r="237" spans="1:4" x14ac:dyDescent="0.2">
      <c r="A237" s="108" t="s">
        <v>616</v>
      </c>
      <c r="B237" s="108" t="s">
        <v>617</v>
      </c>
      <c r="C237" s="108" t="s">
        <v>134</v>
      </c>
      <c r="D237" s="179">
        <v>0.33876499999999998</v>
      </c>
    </row>
    <row r="238" spans="1:4" x14ac:dyDescent="0.2">
      <c r="A238" s="108" t="s">
        <v>618</v>
      </c>
      <c r="B238" s="108" t="s">
        <v>619</v>
      </c>
      <c r="C238" s="108" t="s">
        <v>134</v>
      </c>
      <c r="D238" s="179">
        <v>3.6054000000000003E-2</v>
      </c>
    </row>
    <row r="239" spans="1:4" x14ac:dyDescent="0.2">
      <c r="A239" s="108" t="s">
        <v>620</v>
      </c>
      <c r="B239" s="108" t="s">
        <v>621</v>
      </c>
      <c r="C239" s="108" t="s">
        <v>137</v>
      </c>
      <c r="D239" s="179">
        <v>-2.1114000000000001E-2</v>
      </c>
    </row>
    <row r="240" spans="1:4" x14ac:dyDescent="0.2">
      <c r="A240" s="108" t="s">
        <v>622</v>
      </c>
      <c r="B240" s="108" t="s">
        <v>623</v>
      </c>
      <c r="C240" s="108" t="s">
        <v>171</v>
      </c>
      <c r="D240" s="179">
        <v>-0.337418</v>
      </c>
    </row>
    <row r="241" spans="1:4" x14ac:dyDescent="0.2">
      <c r="A241" s="108" t="s">
        <v>624</v>
      </c>
      <c r="B241" s="108" t="s">
        <v>625</v>
      </c>
      <c r="C241" s="108" t="s">
        <v>249</v>
      </c>
      <c r="D241" s="179">
        <v>0.20598</v>
      </c>
    </row>
    <row r="242" spans="1:4" x14ac:dyDescent="0.2">
      <c r="A242" s="108" t="s">
        <v>626</v>
      </c>
      <c r="B242" s="108" t="s">
        <v>627</v>
      </c>
      <c r="C242" s="108" t="s">
        <v>249</v>
      </c>
      <c r="D242" s="179">
        <v>0.172122</v>
      </c>
    </row>
    <row r="243" spans="1:4" x14ac:dyDescent="0.2">
      <c r="A243" s="108" t="s">
        <v>628</v>
      </c>
      <c r="B243" s="108" t="s">
        <v>629</v>
      </c>
      <c r="C243" s="108" t="s">
        <v>249</v>
      </c>
      <c r="D243" s="179">
        <v>0.18034199999999997</v>
      </c>
    </row>
    <row r="244" spans="1:4" x14ac:dyDescent="0.2">
      <c r="A244" s="108" t="s">
        <v>630</v>
      </c>
      <c r="B244" s="108" t="s">
        <v>631</v>
      </c>
      <c r="C244" s="108" t="s">
        <v>134</v>
      </c>
      <c r="D244" s="179">
        <v>-0.163745</v>
      </c>
    </row>
    <row r="245" spans="1:4" x14ac:dyDescent="0.2">
      <c r="A245" s="108" t="s">
        <v>632</v>
      </c>
      <c r="B245" s="108" t="s">
        <v>633</v>
      </c>
      <c r="C245" s="108" t="s">
        <v>134</v>
      </c>
      <c r="D245" s="179">
        <v>-0.36659900000000001</v>
      </c>
    </row>
    <row r="246" spans="1:4" x14ac:dyDescent="0.2">
      <c r="A246" s="108" t="s">
        <v>634</v>
      </c>
      <c r="B246" s="108" t="s">
        <v>635</v>
      </c>
      <c r="C246" s="108" t="s">
        <v>261</v>
      </c>
      <c r="D246" s="179">
        <v>0.27444099999999999</v>
      </c>
    </row>
    <row r="247" spans="1:4" x14ac:dyDescent="0.2">
      <c r="A247" s="108" t="s">
        <v>636</v>
      </c>
      <c r="B247" s="108" t="s">
        <v>637</v>
      </c>
      <c r="C247" s="108" t="s">
        <v>171</v>
      </c>
      <c r="D247" s="179">
        <v>-0.42127699999999996</v>
      </c>
    </row>
    <row r="248" spans="1:4" x14ac:dyDescent="0.2">
      <c r="A248" s="108" t="s">
        <v>638</v>
      </c>
      <c r="B248" s="108" t="s">
        <v>639</v>
      </c>
      <c r="C248" s="108" t="s">
        <v>134</v>
      </c>
      <c r="D248" s="179">
        <v>-0.201681</v>
      </c>
    </row>
    <row r="249" spans="1:4" x14ac:dyDescent="0.2">
      <c r="A249" s="108" t="s">
        <v>159</v>
      </c>
      <c r="B249" s="108" t="s">
        <v>640</v>
      </c>
      <c r="C249" s="108" t="s">
        <v>141</v>
      </c>
      <c r="D249" s="179">
        <v>3.4838000000000001E-2</v>
      </c>
    </row>
    <row r="250" spans="1:4" x14ac:dyDescent="0.2">
      <c r="A250" s="108" t="s">
        <v>641</v>
      </c>
      <c r="B250" s="108" t="s">
        <v>642</v>
      </c>
      <c r="C250" s="108" t="s">
        <v>134</v>
      </c>
      <c r="D250" s="179">
        <v>0.75290400000000002</v>
      </c>
    </row>
    <row r="251" spans="1:4" x14ac:dyDescent="0.2">
      <c r="A251" s="108" t="s">
        <v>643</v>
      </c>
      <c r="B251" s="108" t="s">
        <v>644</v>
      </c>
      <c r="C251" s="108" t="s">
        <v>146</v>
      </c>
      <c r="D251" s="179">
        <v>0.52339000000000002</v>
      </c>
    </row>
    <row r="252" spans="1:4" x14ac:dyDescent="0.2">
      <c r="A252" s="108" t="s">
        <v>645</v>
      </c>
      <c r="B252" s="108" t="s">
        <v>646</v>
      </c>
      <c r="C252" s="108" t="s">
        <v>261</v>
      </c>
      <c r="D252" s="179">
        <v>-0.50493600000000005</v>
      </c>
    </row>
    <row r="253" spans="1:4" x14ac:dyDescent="0.2">
      <c r="A253" s="108" t="s">
        <v>647</v>
      </c>
      <c r="B253" s="108" t="s">
        <v>648</v>
      </c>
      <c r="C253" s="108" t="s">
        <v>146</v>
      </c>
      <c r="D253" s="179">
        <v>-6.6460000000000005E-2</v>
      </c>
    </row>
    <row r="254" spans="1:4" x14ac:dyDescent="0.2">
      <c r="A254" s="108" t="s">
        <v>649</v>
      </c>
      <c r="B254" s="108" t="s">
        <v>650</v>
      </c>
      <c r="C254" s="108" t="s">
        <v>171</v>
      </c>
      <c r="D254" s="179">
        <v>-0.24462900000000001</v>
      </c>
    </row>
    <row r="255" spans="1:4" x14ac:dyDescent="0.2">
      <c r="A255" s="108" t="s">
        <v>651</v>
      </c>
      <c r="B255" s="108" t="s">
        <v>652</v>
      </c>
      <c r="C255" s="108" t="s">
        <v>167</v>
      </c>
      <c r="D255" s="179">
        <v>7.1354000000000001E-2</v>
      </c>
    </row>
    <row r="256" spans="1:4" x14ac:dyDescent="0.2">
      <c r="A256" s="108" t="s">
        <v>653</v>
      </c>
      <c r="B256" s="108" t="s">
        <v>654</v>
      </c>
      <c r="C256" s="108" t="s">
        <v>249</v>
      </c>
      <c r="D256" s="179">
        <v>-0.55928199999999995</v>
      </c>
    </row>
    <row r="257" spans="1:4" x14ac:dyDescent="0.2">
      <c r="A257" s="108" t="s">
        <v>655</v>
      </c>
      <c r="B257" s="108" t="s">
        <v>656</v>
      </c>
      <c r="C257" s="108" t="s">
        <v>146</v>
      </c>
      <c r="D257" s="179">
        <v>-0.34499099999999999</v>
      </c>
    </row>
    <row r="258" spans="1:4" x14ac:dyDescent="0.2">
      <c r="A258" s="108" t="s">
        <v>657</v>
      </c>
      <c r="B258" s="108" t="s">
        <v>658</v>
      </c>
      <c r="C258" s="108" t="s">
        <v>141</v>
      </c>
      <c r="D258" s="179">
        <v>-0.35678400000000005</v>
      </c>
    </row>
    <row r="259" spans="1:4" x14ac:dyDescent="0.2">
      <c r="A259" s="108" t="s">
        <v>659</v>
      </c>
      <c r="B259" s="108" t="s">
        <v>660</v>
      </c>
      <c r="C259" s="108" t="s">
        <v>171</v>
      </c>
      <c r="D259" s="179">
        <v>-0.15639600000000001</v>
      </c>
    </row>
    <row r="260" spans="1:4" x14ac:dyDescent="0.2">
      <c r="A260" s="108" t="s">
        <v>661</v>
      </c>
      <c r="B260" s="108" t="s">
        <v>662</v>
      </c>
      <c r="C260" s="108" t="s">
        <v>134</v>
      </c>
      <c r="D260" s="179">
        <v>-2.1106E-2</v>
      </c>
    </row>
    <row r="261" spans="1:4" x14ac:dyDescent="0.2">
      <c r="A261" s="108" t="s">
        <v>663</v>
      </c>
      <c r="B261" s="108" t="s">
        <v>664</v>
      </c>
      <c r="C261" s="108" t="s">
        <v>137</v>
      </c>
      <c r="D261" s="179">
        <v>5.1656000000000007E-2</v>
      </c>
    </row>
    <row r="262" spans="1:4" x14ac:dyDescent="0.2">
      <c r="A262" s="108" t="s">
        <v>665</v>
      </c>
      <c r="B262" s="108" t="s">
        <v>666</v>
      </c>
      <c r="C262" s="108" t="s">
        <v>177</v>
      </c>
      <c r="D262" s="179">
        <v>3.2908E-2</v>
      </c>
    </row>
    <row r="263" spans="1:4" x14ac:dyDescent="0.2">
      <c r="A263" s="108" t="s">
        <v>168</v>
      </c>
      <c r="B263" s="108" t="s">
        <v>667</v>
      </c>
      <c r="C263" s="108" t="s">
        <v>167</v>
      </c>
      <c r="D263" s="179">
        <v>0.30010399999999998</v>
      </c>
    </row>
    <row r="264" spans="1:4" x14ac:dyDescent="0.2">
      <c r="A264" s="108" t="s">
        <v>668</v>
      </c>
      <c r="B264" s="108" t="s">
        <v>669</v>
      </c>
      <c r="C264" s="108" t="s">
        <v>171</v>
      </c>
      <c r="D264" s="179">
        <v>0.170351</v>
      </c>
    </row>
    <row r="265" spans="1:4" x14ac:dyDescent="0.2">
      <c r="A265" s="108" t="s">
        <v>670</v>
      </c>
      <c r="B265" s="108" t="s">
        <v>671</v>
      </c>
      <c r="C265" s="108" t="s">
        <v>177</v>
      </c>
      <c r="D265" s="179">
        <v>6.5129000000000006E-2</v>
      </c>
    </row>
    <row r="266" spans="1:4" x14ac:dyDescent="0.2">
      <c r="A266" s="108" t="s">
        <v>672</v>
      </c>
      <c r="B266" s="108" t="s">
        <v>673</v>
      </c>
      <c r="C266" s="108" t="s">
        <v>171</v>
      </c>
      <c r="D266" s="179">
        <v>-0.33070300000000002</v>
      </c>
    </row>
    <row r="267" spans="1:4" x14ac:dyDescent="0.2">
      <c r="A267" s="108" t="s">
        <v>674</v>
      </c>
      <c r="B267" s="108" t="s">
        <v>675</v>
      </c>
      <c r="C267" s="108" t="s">
        <v>146</v>
      </c>
      <c r="D267" s="179">
        <v>0.219918</v>
      </c>
    </row>
    <row r="268" spans="1:4" x14ac:dyDescent="0.2">
      <c r="A268" s="108" t="s">
        <v>676</v>
      </c>
      <c r="B268" s="108" t="s">
        <v>677</v>
      </c>
      <c r="C268" s="108" t="s">
        <v>261</v>
      </c>
      <c r="D268" s="179">
        <v>-0.23765699999999998</v>
      </c>
    </row>
    <row r="269" spans="1:4" x14ac:dyDescent="0.2">
      <c r="A269" s="108" t="s">
        <v>678</v>
      </c>
      <c r="B269" s="108" t="s">
        <v>679</v>
      </c>
      <c r="C269" s="108" t="s">
        <v>146</v>
      </c>
      <c r="D269" s="179">
        <v>-0.15463399999999999</v>
      </c>
    </row>
    <row r="270" spans="1:4" x14ac:dyDescent="0.2">
      <c r="A270" s="108" t="s">
        <v>680</v>
      </c>
      <c r="B270" s="108" t="s">
        <v>681</v>
      </c>
      <c r="C270" s="108" t="s">
        <v>249</v>
      </c>
      <c r="D270" s="179">
        <v>-0.64677800000000008</v>
      </c>
    </row>
    <row r="271" spans="1:4" x14ac:dyDescent="0.2">
      <c r="A271" s="108" t="s">
        <v>682</v>
      </c>
      <c r="B271" s="108" t="s">
        <v>683</v>
      </c>
      <c r="C271" s="108" t="s">
        <v>141</v>
      </c>
      <c r="D271" s="179">
        <v>2.8039000000000001E-2</v>
      </c>
    </row>
    <row r="272" spans="1:4" x14ac:dyDescent="0.2">
      <c r="A272" s="108" t="s">
        <v>684</v>
      </c>
      <c r="B272" s="108" t="s">
        <v>685</v>
      </c>
      <c r="C272" s="108" t="s">
        <v>261</v>
      </c>
      <c r="D272" s="179">
        <v>-0.52657600000000004</v>
      </c>
    </row>
    <row r="273" spans="1:4" x14ac:dyDescent="0.2">
      <c r="A273" s="108" t="s">
        <v>686</v>
      </c>
      <c r="B273" s="108" t="s">
        <v>687</v>
      </c>
      <c r="C273" s="108" t="s">
        <v>249</v>
      </c>
      <c r="D273" s="179">
        <v>0.30765500000000001</v>
      </c>
    </row>
    <row r="274" spans="1:4" x14ac:dyDescent="0.2">
      <c r="A274" s="108" t="s">
        <v>688</v>
      </c>
      <c r="B274" s="108" t="s">
        <v>689</v>
      </c>
      <c r="C274" s="108" t="s">
        <v>134</v>
      </c>
      <c r="D274" s="179">
        <v>7.3549000000000003E-2</v>
      </c>
    </row>
    <row r="275" spans="1:4" x14ac:dyDescent="0.2">
      <c r="A275" s="108" t="s">
        <v>690</v>
      </c>
      <c r="B275" s="108" t="s">
        <v>691</v>
      </c>
      <c r="C275" s="108" t="s">
        <v>141</v>
      </c>
      <c r="D275" s="179">
        <v>5.7389999999999997E-2</v>
      </c>
    </row>
    <row r="276" spans="1:4" x14ac:dyDescent="0.2">
      <c r="A276" s="108" t="s">
        <v>692</v>
      </c>
      <c r="B276" s="108" t="s">
        <v>693</v>
      </c>
      <c r="C276" s="108" t="s">
        <v>146</v>
      </c>
      <c r="D276" s="179">
        <v>-0.22062100000000001</v>
      </c>
    </row>
    <row r="277" spans="1:4" x14ac:dyDescent="0.2">
      <c r="A277" s="108" t="s">
        <v>694</v>
      </c>
      <c r="B277" s="108" t="s">
        <v>695</v>
      </c>
      <c r="C277" s="108" t="s">
        <v>249</v>
      </c>
      <c r="D277" s="179">
        <v>0.15922700000000001</v>
      </c>
    </row>
    <row r="278" spans="1:4" x14ac:dyDescent="0.2">
      <c r="A278" s="108" t="s">
        <v>696</v>
      </c>
      <c r="B278" s="108" t="s">
        <v>697</v>
      </c>
      <c r="C278" s="108" t="s">
        <v>146</v>
      </c>
      <c r="D278" s="179">
        <v>-9.9398E-2</v>
      </c>
    </row>
    <row r="279" spans="1:4" x14ac:dyDescent="0.2">
      <c r="A279" s="108" t="s">
        <v>698</v>
      </c>
      <c r="B279" s="108" t="s">
        <v>699</v>
      </c>
      <c r="C279" s="108" t="s">
        <v>171</v>
      </c>
      <c r="D279" s="179">
        <v>-0.26549</v>
      </c>
    </row>
    <row r="280" spans="1:4" x14ac:dyDescent="0.2">
      <c r="A280" s="108" t="s">
        <v>700</v>
      </c>
      <c r="B280" s="108" t="s">
        <v>701</v>
      </c>
      <c r="C280" s="108" t="s">
        <v>134</v>
      </c>
      <c r="D280" s="179">
        <v>-0.41</v>
      </c>
    </row>
    <row r="281" spans="1:4" x14ac:dyDescent="0.2">
      <c r="A281" s="108" t="s">
        <v>702</v>
      </c>
      <c r="B281" s="108" t="s">
        <v>703</v>
      </c>
      <c r="C281" s="108" t="s">
        <v>171</v>
      </c>
      <c r="D281" s="179">
        <v>-0.32515500000000003</v>
      </c>
    </row>
    <row r="282" spans="1:4" x14ac:dyDescent="0.2">
      <c r="A282" s="108" t="s">
        <v>704</v>
      </c>
      <c r="B282" s="108" t="s">
        <v>705</v>
      </c>
      <c r="C282" s="108" t="s">
        <v>296</v>
      </c>
      <c r="D282" s="179">
        <v>-0.20248000000000002</v>
      </c>
    </row>
    <row r="283" spans="1:4" x14ac:dyDescent="0.2">
      <c r="A283" s="108" t="s">
        <v>706</v>
      </c>
      <c r="B283" s="108" t="s">
        <v>707</v>
      </c>
      <c r="C283" s="108" t="s">
        <v>134</v>
      </c>
      <c r="D283" s="179">
        <v>-0.52377000000000007</v>
      </c>
    </row>
    <row r="284" spans="1:4" x14ac:dyDescent="0.2">
      <c r="A284" s="108" t="s">
        <v>708</v>
      </c>
      <c r="B284" s="108" t="s">
        <v>709</v>
      </c>
      <c r="C284" s="108" t="s">
        <v>171</v>
      </c>
      <c r="D284" s="179">
        <v>-0.30796000000000001</v>
      </c>
    </row>
    <row r="285" spans="1:4" x14ac:dyDescent="0.2">
      <c r="A285" s="108" t="s">
        <v>710</v>
      </c>
      <c r="B285" s="108" t="s">
        <v>711</v>
      </c>
      <c r="C285" s="108" t="s">
        <v>171</v>
      </c>
      <c r="D285" s="179">
        <v>-0.27771400000000002</v>
      </c>
    </row>
    <row r="286" spans="1:4" x14ac:dyDescent="0.2">
      <c r="A286" s="108" t="s">
        <v>712</v>
      </c>
      <c r="B286" s="108" t="s">
        <v>713</v>
      </c>
      <c r="C286" s="108" t="s">
        <v>261</v>
      </c>
      <c r="D286" s="179">
        <v>-0.24606600000000001</v>
      </c>
    </row>
    <row r="287" spans="1:4" x14ac:dyDescent="0.2">
      <c r="A287" s="108" t="s">
        <v>714</v>
      </c>
      <c r="B287" s="108" t="s">
        <v>715</v>
      </c>
      <c r="C287" s="108" t="s">
        <v>261</v>
      </c>
      <c r="D287" s="179">
        <v>-0.12665499999999999</v>
      </c>
    </row>
    <row r="288" spans="1:4" x14ac:dyDescent="0.2">
      <c r="A288" s="108" t="s">
        <v>716</v>
      </c>
      <c r="B288" s="108" t="s">
        <v>717</v>
      </c>
      <c r="C288" s="108" t="s">
        <v>146</v>
      </c>
      <c r="D288" s="179">
        <v>-0.72638900000000006</v>
      </c>
    </row>
    <row r="289" spans="1:4" x14ac:dyDescent="0.2">
      <c r="A289" s="108" t="s">
        <v>156</v>
      </c>
      <c r="B289" s="108" t="s">
        <v>718</v>
      </c>
      <c r="C289" s="108" t="s">
        <v>171</v>
      </c>
      <c r="D289" s="179">
        <v>0.362734</v>
      </c>
    </row>
    <row r="290" spans="1:4" x14ac:dyDescent="0.2">
      <c r="A290" s="108" t="s">
        <v>719</v>
      </c>
      <c r="B290" s="108" t="s">
        <v>720</v>
      </c>
      <c r="C290" s="108" t="s">
        <v>141</v>
      </c>
      <c r="D290" s="179">
        <v>0.296844</v>
      </c>
    </row>
    <row r="291" spans="1:4" x14ac:dyDescent="0.2">
      <c r="A291" s="108" t="s">
        <v>721</v>
      </c>
      <c r="B291" s="108" t="s">
        <v>722</v>
      </c>
      <c r="C291" s="108" t="s">
        <v>171</v>
      </c>
      <c r="D291" s="179">
        <v>-0.47842499999999999</v>
      </c>
    </row>
    <row r="292" spans="1:4" x14ac:dyDescent="0.2">
      <c r="A292" s="108" t="s">
        <v>723</v>
      </c>
      <c r="B292" s="108" t="s">
        <v>724</v>
      </c>
      <c r="C292" s="108" t="s">
        <v>171</v>
      </c>
      <c r="D292" s="179">
        <v>-1.1179999999999999E-2</v>
      </c>
    </row>
    <row r="293" spans="1:4" x14ac:dyDescent="0.2">
      <c r="A293" s="108" t="s">
        <v>725</v>
      </c>
      <c r="B293" s="108" t="s">
        <v>726</v>
      </c>
      <c r="C293" s="108" t="s">
        <v>141</v>
      </c>
      <c r="D293" s="179">
        <v>-5.1766E-2</v>
      </c>
    </row>
    <row r="294" spans="1:4" x14ac:dyDescent="0.2">
      <c r="A294" s="108" t="s">
        <v>727</v>
      </c>
      <c r="B294" s="108" t="s">
        <v>728</v>
      </c>
      <c r="C294" s="108" t="s">
        <v>141</v>
      </c>
      <c r="D294" s="179">
        <v>0.790856</v>
      </c>
    </row>
    <row r="295" spans="1:4" x14ac:dyDescent="0.2">
      <c r="A295" s="108" t="s">
        <v>729</v>
      </c>
      <c r="B295" s="108" t="s">
        <v>730</v>
      </c>
      <c r="C295" s="108" t="s">
        <v>146</v>
      </c>
      <c r="D295" s="179">
        <v>5.4329999999999996E-2</v>
      </c>
    </row>
    <row r="296" spans="1:4" x14ac:dyDescent="0.2">
      <c r="A296" s="108" t="s">
        <v>731</v>
      </c>
      <c r="B296" s="108" t="s">
        <v>732</v>
      </c>
      <c r="C296" s="108" t="s">
        <v>146</v>
      </c>
      <c r="D296" s="179">
        <v>-0.40837800000000002</v>
      </c>
    </row>
    <row r="297" spans="1:4" x14ac:dyDescent="0.2">
      <c r="A297" s="108" t="s">
        <v>733</v>
      </c>
      <c r="B297" s="108" t="s">
        <v>734</v>
      </c>
      <c r="C297" s="108" t="s">
        <v>146</v>
      </c>
      <c r="D297" s="179">
        <v>5.6769999999999994E-2</v>
      </c>
    </row>
    <row r="298" spans="1:4" x14ac:dyDescent="0.2">
      <c r="A298" s="108" t="s">
        <v>735</v>
      </c>
      <c r="B298" s="108" t="s">
        <v>736</v>
      </c>
      <c r="C298" s="108" t="s">
        <v>171</v>
      </c>
      <c r="D298" s="179">
        <v>-0.34386899999999998</v>
      </c>
    </row>
    <row r="299" spans="1:4" x14ac:dyDescent="0.2">
      <c r="A299" s="108" t="s">
        <v>737</v>
      </c>
      <c r="B299" s="108" t="s">
        <v>738</v>
      </c>
      <c r="C299" s="108" t="s">
        <v>141</v>
      </c>
      <c r="D299" s="179">
        <v>0.89745500000000011</v>
      </c>
    </row>
    <row r="300" spans="1:4" x14ac:dyDescent="0.2">
      <c r="A300" s="108" t="s">
        <v>739</v>
      </c>
      <c r="B300" s="108" t="s">
        <v>740</v>
      </c>
      <c r="C300" s="108" t="s">
        <v>146</v>
      </c>
      <c r="D300" s="179">
        <v>-0.27893799999999996</v>
      </c>
    </row>
    <row r="301" spans="1:4" x14ac:dyDescent="0.2">
      <c r="A301" s="108" t="s">
        <v>741</v>
      </c>
      <c r="B301" s="108" t="s">
        <v>742</v>
      </c>
      <c r="C301" s="108" t="s">
        <v>134</v>
      </c>
      <c r="D301" s="179">
        <v>9.8798999999999998E-2</v>
      </c>
    </row>
    <row r="302" spans="1:4" x14ac:dyDescent="0.2">
      <c r="A302" s="108" t="s">
        <v>743</v>
      </c>
      <c r="B302" s="108" t="s">
        <v>744</v>
      </c>
      <c r="C302" s="108" t="s">
        <v>167</v>
      </c>
      <c r="D302" s="179">
        <v>4.4089999999999997E-3</v>
      </c>
    </row>
    <row r="303" spans="1:4" x14ac:dyDescent="0.2">
      <c r="A303" s="108" t="s">
        <v>745</v>
      </c>
      <c r="B303" s="108" t="s">
        <v>746</v>
      </c>
      <c r="C303" s="108" t="s">
        <v>146</v>
      </c>
      <c r="D303" s="179">
        <v>-0.11187200000000001</v>
      </c>
    </row>
    <row r="304" spans="1:4" x14ac:dyDescent="0.2">
      <c r="A304" s="108" t="s">
        <v>747</v>
      </c>
      <c r="B304" s="108" t="s">
        <v>748</v>
      </c>
      <c r="C304" s="108" t="s">
        <v>749</v>
      </c>
      <c r="D304" s="179">
        <v>0.10663399999999999</v>
      </c>
    </row>
    <row r="305" spans="1:4" x14ac:dyDescent="0.2">
      <c r="A305" s="108" t="s">
        <v>750</v>
      </c>
      <c r="B305" s="108" t="s">
        <v>751</v>
      </c>
      <c r="C305" s="108" t="s">
        <v>167</v>
      </c>
      <c r="D305" s="179">
        <v>0.217497</v>
      </c>
    </row>
    <row r="306" spans="1:4" x14ac:dyDescent="0.2">
      <c r="A306" s="108" t="s">
        <v>752</v>
      </c>
      <c r="B306" s="108" t="s">
        <v>753</v>
      </c>
      <c r="C306" s="108" t="s">
        <v>134</v>
      </c>
      <c r="D306" s="179">
        <v>-0.12503999999999998</v>
      </c>
    </row>
    <row r="307" spans="1:4" x14ac:dyDescent="0.2">
      <c r="A307" s="108" t="s">
        <v>754</v>
      </c>
      <c r="B307" s="108" t="s">
        <v>755</v>
      </c>
      <c r="C307" s="108" t="s">
        <v>137</v>
      </c>
      <c r="D307" s="179">
        <v>1.136684</v>
      </c>
    </row>
    <row r="308" spans="1:4" x14ac:dyDescent="0.2">
      <c r="A308" s="108" t="s">
        <v>756</v>
      </c>
      <c r="B308" s="108" t="s">
        <v>757</v>
      </c>
      <c r="C308" s="108" t="s">
        <v>134</v>
      </c>
      <c r="D308" s="179">
        <v>-0.210117</v>
      </c>
    </row>
    <row r="309" spans="1:4" x14ac:dyDescent="0.2">
      <c r="A309" s="108" t="s">
        <v>758</v>
      </c>
      <c r="B309" s="108" t="s">
        <v>759</v>
      </c>
      <c r="C309" s="108" t="s">
        <v>141</v>
      </c>
      <c r="D309" s="179">
        <v>0.36766100000000002</v>
      </c>
    </row>
    <row r="310" spans="1:4" x14ac:dyDescent="0.2">
      <c r="A310" s="108" t="s">
        <v>760</v>
      </c>
      <c r="B310" s="108" t="s">
        <v>761</v>
      </c>
      <c r="C310" s="108" t="s">
        <v>217</v>
      </c>
      <c r="D310" s="179">
        <v>0.33578400000000003</v>
      </c>
    </row>
    <row r="311" spans="1:4" x14ac:dyDescent="0.2">
      <c r="A311" s="108" t="s">
        <v>762</v>
      </c>
      <c r="B311" s="108" t="s">
        <v>763</v>
      </c>
      <c r="C311" s="108" t="s">
        <v>146</v>
      </c>
      <c r="D311" s="179">
        <v>-0.19968599999999997</v>
      </c>
    </row>
    <row r="312" spans="1:4" x14ac:dyDescent="0.2">
      <c r="A312" s="108" t="s">
        <v>39</v>
      </c>
      <c r="B312" s="108" t="s">
        <v>764</v>
      </c>
      <c r="C312" s="108" t="s">
        <v>134</v>
      </c>
      <c r="D312" s="179">
        <v>0.20596100000000001</v>
      </c>
    </row>
    <row r="313" spans="1:4" x14ac:dyDescent="0.2">
      <c r="A313" s="108" t="s">
        <v>765</v>
      </c>
      <c r="B313" s="108" t="s">
        <v>766</v>
      </c>
      <c r="C313" s="108" t="s">
        <v>146</v>
      </c>
      <c r="D313" s="179">
        <v>-0.31098599999999998</v>
      </c>
    </row>
    <row r="314" spans="1:4" x14ac:dyDescent="0.2">
      <c r="A314" s="108" t="s">
        <v>767</v>
      </c>
      <c r="B314" s="108" t="s">
        <v>768</v>
      </c>
      <c r="C314" s="108" t="s">
        <v>146</v>
      </c>
      <c r="D314" s="179">
        <v>-0.62895699999999999</v>
      </c>
    </row>
    <row r="315" spans="1:4" x14ac:dyDescent="0.2">
      <c r="A315" s="108" t="s">
        <v>769</v>
      </c>
      <c r="B315" s="108" t="s">
        <v>770</v>
      </c>
      <c r="C315" s="108" t="s">
        <v>146</v>
      </c>
      <c r="D315" s="179">
        <v>-0.15722700000000001</v>
      </c>
    </row>
    <row r="316" spans="1:4" x14ac:dyDescent="0.2">
      <c r="A316" s="108" t="s">
        <v>771</v>
      </c>
      <c r="B316" s="108" t="s">
        <v>772</v>
      </c>
      <c r="C316" s="108" t="s">
        <v>134</v>
      </c>
      <c r="D316" s="179">
        <v>-0.480659</v>
      </c>
    </row>
    <row r="317" spans="1:4" x14ac:dyDescent="0.2">
      <c r="A317" s="108" t="s">
        <v>773</v>
      </c>
      <c r="B317" s="108" t="s">
        <v>774</v>
      </c>
      <c r="C317" s="108" t="s">
        <v>217</v>
      </c>
      <c r="D317" s="179">
        <v>0.68171099999999996</v>
      </c>
    </row>
    <row r="318" spans="1:4" x14ac:dyDescent="0.2">
      <c r="A318" s="108" t="s">
        <v>775</v>
      </c>
      <c r="B318" s="108" t="s">
        <v>776</v>
      </c>
      <c r="C318" s="108" t="s">
        <v>137</v>
      </c>
      <c r="D318" s="179">
        <v>7.1856000000000003E-2</v>
      </c>
    </row>
    <row r="319" spans="1:4" x14ac:dyDescent="0.2">
      <c r="A319" s="108" t="s">
        <v>777</v>
      </c>
      <c r="B319" s="108" t="s">
        <v>778</v>
      </c>
      <c r="C319" s="108" t="s">
        <v>171</v>
      </c>
      <c r="D319" s="179">
        <v>-0.30531700000000001</v>
      </c>
    </row>
    <row r="320" spans="1:4" x14ac:dyDescent="0.2">
      <c r="A320" s="108" t="s">
        <v>779</v>
      </c>
      <c r="B320" s="108" t="s">
        <v>780</v>
      </c>
      <c r="C320" s="108" t="s">
        <v>134</v>
      </c>
      <c r="D320" s="179">
        <v>-0.11276899999999999</v>
      </c>
    </row>
    <row r="321" spans="1:4" x14ac:dyDescent="0.2">
      <c r="A321" s="108" t="s">
        <v>781</v>
      </c>
      <c r="B321" s="108" t="s">
        <v>782</v>
      </c>
      <c r="C321" s="108" t="s">
        <v>141</v>
      </c>
      <c r="D321" s="179">
        <v>-0.28957899999999998</v>
      </c>
    </row>
    <row r="322" spans="1:4" x14ac:dyDescent="0.2">
      <c r="A322" s="108" t="s">
        <v>783</v>
      </c>
      <c r="B322" s="108" t="s">
        <v>784</v>
      </c>
      <c r="C322" s="108" t="s">
        <v>217</v>
      </c>
      <c r="D322" s="179">
        <v>-8.0254999999999993E-2</v>
      </c>
    </row>
    <row r="323" spans="1:4" x14ac:dyDescent="0.2">
      <c r="A323" s="108" t="s">
        <v>785</v>
      </c>
      <c r="B323" s="108" t="s">
        <v>786</v>
      </c>
      <c r="C323" s="108" t="s">
        <v>146</v>
      </c>
      <c r="D323" s="179">
        <v>-0.50601799999999997</v>
      </c>
    </row>
    <row r="324" spans="1:4" x14ac:dyDescent="0.2">
      <c r="A324" s="108" t="s">
        <v>787</v>
      </c>
      <c r="B324" s="108" t="s">
        <v>788</v>
      </c>
      <c r="C324" s="108" t="s">
        <v>134</v>
      </c>
      <c r="D324" s="179">
        <v>0.23239699999999999</v>
      </c>
    </row>
    <row r="325" spans="1:4" x14ac:dyDescent="0.2">
      <c r="A325" s="108" t="s">
        <v>789</v>
      </c>
      <c r="B325" s="108" t="s">
        <v>790</v>
      </c>
      <c r="C325" s="108" t="s">
        <v>217</v>
      </c>
      <c r="D325" s="179">
        <v>0.48732799999999998</v>
      </c>
    </row>
    <row r="326" spans="1:4" x14ac:dyDescent="0.2">
      <c r="A326" s="108" t="s">
        <v>791</v>
      </c>
      <c r="B326" s="108" t="s">
        <v>792</v>
      </c>
      <c r="C326" s="108" t="s">
        <v>137</v>
      </c>
      <c r="D326" s="179">
        <v>9.0365000000000001E-2</v>
      </c>
    </row>
    <row r="327" spans="1:4" x14ac:dyDescent="0.2">
      <c r="A327" s="108" t="s">
        <v>793</v>
      </c>
      <c r="B327" s="108" t="s">
        <v>794</v>
      </c>
      <c r="C327" s="108" t="s">
        <v>177</v>
      </c>
      <c r="D327" s="179">
        <v>-0.178008</v>
      </c>
    </row>
    <row r="328" spans="1:4" x14ac:dyDescent="0.2">
      <c r="A328" s="108" t="s">
        <v>795</v>
      </c>
      <c r="B328" s="108" t="s">
        <v>796</v>
      </c>
      <c r="C328" s="108" t="s">
        <v>261</v>
      </c>
      <c r="D328" s="179">
        <v>0.31323799999999996</v>
      </c>
    </row>
    <row r="329" spans="1:4" x14ac:dyDescent="0.2">
      <c r="A329" s="108" t="s">
        <v>797</v>
      </c>
      <c r="B329" s="108" t="s">
        <v>798</v>
      </c>
      <c r="C329" s="108" t="s">
        <v>249</v>
      </c>
      <c r="D329" s="179">
        <v>0.18345600000000001</v>
      </c>
    </row>
    <row r="330" spans="1:4" x14ac:dyDescent="0.2">
      <c r="A330" s="108" t="s">
        <v>799</v>
      </c>
      <c r="B330" s="108" t="s">
        <v>800</v>
      </c>
      <c r="C330" s="108" t="s">
        <v>217</v>
      </c>
      <c r="D330" s="179">
        <v>1.401438</v>
      </c>
    </row>
    <row r="331" spans="1:4" x14ac:dyDescent="0.2">
      <c r="A331" s="108" t="s">
        <v>801</v>
      </c>
      <c r="B331" s="108" t="s">
        <v>802</v>
      </c>
      <c r="C331" s="108" t="s">
        <v>134</v>
      </c>
      <c r="D331" s="179">
        <v>0.10806499999999999</v>
      </c>
    </row>
    <row r="332" spans="1:4" x14ac:dyDescent="0.2">
      <c r="A332" s="108" t="s">
        <v>803</v>
      </c>
      <c r="B332" s="108" t="s">
        <v>804</v>
      </c>
      <c r="C332" s="108" t="s">
        <v>296</v>
      </c>
      <c r="D332" s="179">
        <v>2.2071999999999998E-2</v>
      </c>
    </row>
    <row r="333" spans="1:4" x14ac:dyDescent="0.2">
      <c r="A333" s="108" t="s">
        <v>805</v>
      </c>
      <c r="B333" s="108" t="s">
        <v>806</v>
      </c>
      <c r="C333" s="108" t="s">
        <v>134</v>
      </c>
      <c r="D333" s="179">
        <v>5.2859999999999999E-3</v>
      </c>
    </row>
    <row r="334" spans="1:4" x14ac:dyDescent="0.2">
      <c r="A334" s="108" t="s">
        <v>807</v>
      </c>
      <c r="B334" s="108" t="s">
        <v>808</v>
      </c>
      <c r="C334" s="108" t="s">
        <v>134</v>
      </c>
      <c r="D334" s="179">
        <v>-0.36456200000000005</v>
      </c>
    </row>
    <row r="335" spans="1:4" x14ac:dyDescent="0.2">
      <c r="A335" s="108" t="s">
        <v>809</v>
      </c>
      <c r="B335" s="108" t="s">
        <v>810</v>
      </c>
      <c r="C335" s="108" t="s">
        <v>146</v>
      </c>
      <c r="D335" s="179">
        <v>0.27879399999999999</v>
      </c>
    </row>
    <row r="336" spans="1:4" x14ac:dyDescent="0.2">
      <c r="A336" s="108" t="s">
        <v>811</v>
      </c>
      <c r="B336" s="108" t="s">
        <v>812</v>
      </c>
      <c r="C336" s="108" t="s">
        <v>137</v>
      </c>
      <c r="D336" s="179">
        <v>0.12806400000000001</v>
      </c>
    </row>
    <row r="337" spans="1:4" x14ac:dyDescent="0.2">
      <c r="A337" s="108" t="s">
        <v>813</v>
      </c>
      <c r="B337" s="108" t="s">
        <v>814</v>
      </c>
      <c r="C337" s="108" t="s">
        <v>134</v>
      </c>
      <c r="D337" s="179">
        <v>0.37881700000000001</v>
      </c>
    </row>
    <row r="338" spans="1:4" x14ac:dyDescent="0.2">
      <c r="A338" s="108" t="s">
        <v>815</v>
      </c>
      <c r="B338" s="108" t="s">
        <v>816</v>
      </c>
      <c r="C338" s="108" t="s">
        <v>134</v>
      </c>
      <c r="D338" s="179">
        <v>-0.19901199999999999</v>
      </c>
    </row>
    <row r="339" spans="1:4" x14ac:dyDescent="0.2">
      <c r="A339" s="108" t="s">
        <v>817</v>
      </c>
      <c r="B339" s="108" t="s">
        <v>818</v>
      </c>
      <c r="C339" s="108" t="s">
        <v>167</v>
      </c>
      <c r="D339" s="179">
        <v>-7.7029E-2</v>
      </c>
    </row>
    <row r="340" spans="1:4" x14ac:dyDescent="0.2">
      <c r="A340" s="108" t="s">
        <v>819</v>
      </c>
      <c r="B340" s="108" t="s">
        <v>820</v>
      </c>
      <c r="C340" s="108" t="s">
        <v>171</v>
      </c>
      <c r="D340" s="179">
        <v>-4.0502999999999997E-2</v>
      </c>
    </row>
    <row r="341" spans="1:4" x14ac:dyDescent="0.2">
      <c r="A341" s="108" t="s">
        <v>821</v>
      </c>
      <c r="B341" s="108" t="s">
        <v>822</v>
      </c>
      <c r="C341" s="108" t="s">
        <v>171</v>
      </c>
      <c r="D341" s="179">
        <v>-0.24486899999999998</v>
      </c>
    </row>
    <row r="342" spans="1:4" x14ac:dyDescent="0.2">
      <c r="A342" s="108" t="s">
        <v>823</v>
      </c>
      <c r="B342" s="108" t="s">
        <v>824</v>
      </c>
      <c r="C342" s="108" t="s">
        <v>171</v>
      </c>
      <c r="D342" s="179">
        <v>-0.63557799999999998</v>
      </c>
    </row>
    <row r="343" spans="1:4" x14ac:dyDescent="0.2">
      <c r="A343" s="108" t="s">
        <v>825</v>
      </c>
      <c r="B343" s="108" t="s">
        <v>826</v>
      </c>
      <c r="C343" s="108" t="s">
        <v>171</v>
      </c>
      <c r="D343" s="179">
        <v>-7.9681999999999989E-2</v>
      </c>
    </row>
    <row r="344" spans="1:4" x14ac:dyDescent="0.2">
      <c r="A344" s="108" t="s">
        <v>827</v>
      </c>
      <c r="B344" s="108" t="s">
        <v>828</v>
      </c>
      <c r="C344" s="108" t="s">
        <v>167</v>
      </c>
      <c r="D344" s="179">
        <v>-0.57180300000000006</v>
      </c>
    </row>
    <row r="345" spans="1:4" x14ac:dyDescent="0.2">
      <c r="A345" s="108" t="s">
        <v>829</v>
      </c>
      <c r="B345" s="108" t="s">
        <v>830</v>
      </c>
      <c r="C345" s="108" t="s">
        <v>134</v>
      </c>
      <c r="D345" s="179">
        <v>0.317386</v>
      </c>
    </row>
    <row r="346" spans="1:4" x14ac:dyDescent="0.2">
      <c r="A346" s="108" t="s">
        <v>831</v>
      </c>
      <c r="B346" s="108" t="s">
        <v>832</v>
      </c>
      <c r="C346" s="108" t="s">
        <v>217</v>
      </c>
      <c r="D346" s="179">
        <v>0.59594499999999995</v>
      </c>
    </row>
    <row r="347" spans="1:4" x14ac:dyDescent="0.2">
      <c r="A347" s="108" t="s">
        <v>833</v>
      </c>
      <c r="B347" s="108" t="s">
        <v>834</v>
      </c>
      <c r="C347" s="108" t="s">
        <v>171</v>
      </c>
      <c r="D347" s="179">
        <v>-5.8169000000000005E-2</v>
      </c>
    </row>
    <row r="348" spans="1:4" x14ac:dyDescent="0.2">
      <c r="A348" s="108" t="s">
        <v>835</v>
      </c>
      <c r="B348" s="108" t="s">
        <v>836</v>
      </c>
      <c r="C348" s="108" t="s">
        <v>167</v>
      </c>
      <c r="D348" s="179">
        <v>0.29375599999999996</v>
      </c>
    </row>
    <row r="349" spans="1:4" x14ac:dyDescent="0.2">
      <c r="A349" s="108" t="s">
        <v>837</v>
      </c>
      <c r="B349" s="108" t="s">
        <v>838</v>
      </c>
      <c r="C349" s="108" t="s">
        <v>134</v>
      </c>
      <c r="D349" s="179">
        <v>-0.147868</v>
      </c>
    </row>
    <row r="350" spans="1:4" x14ac:dyDescent="0.2">
      <c r="A350" s="108" t="s">
        <v>839</v>
      </c>
      <c r="B350" s="108" t="s">
        <v>840</v>
      </c>
      <c r="C350" s="108" t="s">
        <v>261</v>
      </c>
      <c r="D350" s="179">
        <v>0.29722700000000002</v>
      </c>
    </row>
    <row r="351" spans="1:4" x14ac:dyDescent="0.2">
      <c r="A351" s="108" t="s">
        <v>841</v>
      </c>
      <c r="B351" s="108" t="s">
        <v>842</v>
      </c>
      <c r="C351" s="108" t="s">
        <v>177</v>
      </c>
      <c r="D351" s="179">
        <v>-5.9158999999999996E-2</v>
      </c>
    </row>
    <row r="352" spans="1:4" x14ac:dyDescent="0.2">
      <c r="A352" s="108" t="s">
        <v>843</v>
      </c>
      <c r="B352" s="108" t="s">
        <v>844</v>
      </c>
      <c r="C352" s="108" t="s">
        <v>249</v>
      </c>
      <c r="D352" s="179">
        <v>0.19749099999999997</v>
      </c>
    </row>
    <row r="353" spans="1:4" x14ac:dyDescent="0.2">
      <c r="A353" s="108" t="s">
        <v>845</v>
      </c>
      <c r="B353" s="108" t="s">
        <v>846</v>
      </c>
      <c r="C353" s="108" t="s">
        <v>137</v>
      </c>
      <c r="D353" s="179">
        <v>8.311099999999999E-2</v>
      </c>
    </row>
    <row r="354" spans="1:4" x14ac:dyDescent="0.2">
      <c r="A354" s="108" t="s">
        <v>847</v>
      </c>
      <c r="B354" s="108" t="s">
        <v>848</v>
      </c>
      <c r="C354" s="108" t="s">
        <v>141</v>
      </c>
      <c r="D354" s="179">
        <v>-4.3931000000000005E-2</v>
      </c>
    </row>
    <row r="355" spans="1:4" x14ac:dyDescent="0.2">
      <c r="A355" s="108" t="s">
        <v>849</v>
      </c>
      <c r="B355" s="108" t="s">
        <v>850</v>
      </c>
      <c r="C355" s="108" t="s">
        <v>177</v>
      </c>
      <c r="D355" s="179">
        <v>0.51521499999999998</v>
      </c>
    </row>
    <row r="356" spans="1:4" x14ac:dyDescent="0.2">
      <c r="A356" s="108" t="s">
        <v>851</v>
      </c>
      <c r="B356" s="108" t="s">
        <v>852</v>
      </c>
      <c r="C356" s="108" t="s">
        <v>167</v>
      </c>
      <c r="D356" s="179">
        <v>0.23621099999999998</v>
      </c>
    </row>
    <row r="357" spans="1:4" x14ac:dyDescent="0.2">
      <c r="A357" s="108" t="s">
        <v>853</v>
      </c>
      <c r="B357" s="108" t="s">
        <v>854</v>
      </c>
      <c r="C357" s="108" t="s">
        <v>141</v>
      </c>
      <c r="D357" s="179">
        <v>-7.7606000000000008E-2</v>
      </c>
    </row>
    <row r="358" spans="1:4" x14ac:dyDescent="0.2">
      <c r="A358" s="108" t="s">
        <v>855</v>
      </c>
      <c r="B358" s="108" t="s">
        <v>856</v>
      </c>
      <c r="C358" s="108" t="s">
        <v>146</v>
      </c>
      <c r="D358" s="179">
        <v>0.18807500000000002</v>
      </c>
    </row>
    <row r="359" spans="1:4" x14ac:dyDescent="0.2">
      <c r="A359" s="108" t="s">
        <v>194</v>
      </c>
      <c r="B359" s="108" t="s">
        <v>857</v>
      </c>
      <c r="C359" s="108" t="s">
        <v>167</v>
      </c>
      <c r="D359" s="179">
        <v>0.16352899999999998</v>
      </c>
    </row>
    <row r="360" spans="1:4" x14ac:dyDescent="0.2">
      <c r="A360" s="108" t="s">
        <v>858</v>
      </c>
      <c r="B360" s="108" t="s">
        <v>859</v>
      </c>
      <c r="C360" s="108" t="s">
        <v>177</v>
      </c>
      <c r="D360" s="179">
        <v>7.4198E-2</v>
      </c>
    </row>
    <row r="361" spans="1:4" x14ac:dyDescent="0.2">
      <c r="A361" s="108" t="s">
        <v>860</v>
      </c>
      <c r="B361" s="108" t="s">
        <v>861</v>
      </c>
      <c r="C361" s="108" t="s">
        <v>177</v>
      </c>
      <c r="D361" s="179">
        <v>3.6471000000000003E-2</v>
      </c>
    </row>
    <row r="362" spans="1:4" x14ac:dyDescent="0.2">
      <c r="A362" s="108" t="s">
        <v>862</v>
      </c>
      <c r="B362" s="108" t="s">
        <v>863</v>
      </c>
      <c r="C362" s="108" t="s">
        <v>146</v>
      </c>
      <c r="D362" s="179">
        <v>-0.12634200000000001</v>
      </c>
    </row>
    <row r="363" spans="1:4" x14ac:dyDescent="0.2">
      <c r="A363" s="108" t="s">
        <v>864</v>
      </c>
      <c r="B363" s="108" t="s">
        <v>865</v>
      </c>
      <c r="C363" s="108" t="s">
        <v>137</v>
      </c>
      <c r="D363" s="179">
        <v>0.48432600000000003</v>
      </c>
    </row>
    <row r="364" spans="1:4" x14ac:dyDescent="0.2">
      <c r="A364" s="108" t="s">
        <v>866</v>
      </c>
      <c r="B364" s="108" t="s">
        <v>867</v>
      </c>
      <c r="C364" s="108" t="s">
        <v>249</v>
      </c>
      <c r="D364" s="179">
        <v>-0.67693200000000009</v>
      </c>
    </row>
    <row r="365" spans="1:4" x14ac:dyDescent="0.2">
      <c r="A365" s="108" t="s">
        <v>868</v>
      </c>
      <c r="B365" s="108" t="s">
        <v>869</v>
      </c>
      <c r="C365" s="108" t="s">
        <v>134</v>
      </c>
      <c r="D365" s="179">
        <v>0.18308599999999997</v>
      </c>
    </row>
    <row r="366" spans="1:4" x14ac:dyDescent="0.2">
      <c r="A366" s="108" t="s">
        <v>870</v>
      </c>
      <c r="B366" s="108" t="s">
        <v>871</v>
      </c>
      <c r="C366" s="108" t="s">
        <v>171</v>
      </c>
      <c r="D366" s="179">
        <v>7.3227E-2</v>
      </c>
    </row>
    <row r="367" spans="1:4" x14ac:dyDescent="0.2">
      <c r="A367" s="108" t="s">
        <v>872</v>
      </c>
      <c r="B367" s="108" t="s">
        <v>873</v>
      </c>
      <c r="C367" s="108" t="s">
        <v>249</v>
      </c>
      <c r="D367" s="179">
        <v>0.180897</v>
      </c>
    </row>
    <row r="368" spans="1:4" x14ac:dyDescent="0.2">
      <c r="A368" s="108" t="s">
        <v>874</v>
      </c>
      <c r="B368" s="108" t="s">
        <v>875</v>
      </c>
      <c r="C368" s="108" t="s">
        <v>134</v>
      </c>
      <c r="D368" s="179">
        <v>-2.5335E-2</v>
      </c>
    </row>
    <row r="369" spans="1:4" x14ac:dyDescent="0.2">
      <c r="A369" s="108" t="s">
        <v>876</v>
      </c>
      <c r="B369" s="108" t="s">
        <v>877</v>
      </c>
      <c r="C369" s="108" t="s">
        <v>146</v>
      </c>
      <c r="D369" s="179">
        <v>-8.0361999999999989E-2</v>
      </c>
    </row>
    <row r="370" spans="1:4" x14ac:dyDescent="0.2">
      <c r="A370" s="108" t="s">
        <v>878</v>
      </c>
      <c r="B370" s="108" t="s">
        <v>879</v>
      </c>
      <c r="C370" s="108" t="s">
        <v>177</v>
      </c>
      <c r="D370" s="179">
        <v>-0.12191800000000001</v>
      </c>
    </row>
    <row r="371" spans="1:4" x14ac:dyDescent="0.2">
      <c r="A371" s="108" t="s">
        <v>880</v>
      </c>
      <c r="B371" s="108" t="s">
        <v>881</v>
      </c>
      <c r="C371" s="108" t="s">
        <v>137</v>
      </c>
      <c r="D371" s="179">
        <v>0.125526</v>
      </c>
    </row>
    <row r="372" spans="1:4" x14ac:dyDescent="0.2">
      <c r="A372" s="108" t="s">
        <v>882</v>
      </c>
      <c r="B372" s="108" t="s">
        <v>883</v>
      </c>
      <c r="C372" s="108" t="s">
        <v>177</v>
      </c>
      <c r="D372" s="179">
        <v>0.48744399999999999</v>
      </c>
    </row>
    <row r="373" spans="1:4" x14ac:dyDescent="0.2">
      <c r="A373" s="108" t="s">
        <v>884</v>
      </c>
      <c r="B373" s="108" t="s">
        <v>885</v>
      </c>
      <c r="C373" s="108" t="s">
        <v>146</v>
      </c>
      <c r="D373" s="179">
        <v>9.7018000000000007E-2</v>
      </c>
    </row>
    <row r="374" spans="1:4" x14ac:dyDescent="0.2">
      <c r="A374" s="108" t="s">
        <v>886</v>
      </c>
      <c r="B374" s="108" t="s">
        <v>887</v>
      </c>
      <c r="C374" s="108" t="s">
        <v>171</v>
      </c>
      <c r="D374" s="179">
        <v>-0.22656400000000002</v>
      </c>
    </row>
    <row r="375" spans="1:4" x14ac:dyDescent="0.2">
      <c r="A375" s="108" t="s">
        <v>888</v>
      </c>
      <c r="B375" s="108" t="s">
        <v>889</v>
      </c>
      <c r="C375" s="108" t="s">
        <v>137</v>
      </c>
      <c r="D375" s="179">
        <v>-0.253853</v>
      </c>
    </row>
    <row r="376" spans="1:4" x14ac:dyDescent="0.2">
      <c r="A376" s="108" t="s">
        <v>890</v>
      </c>
      <c r="B376" s="108" t="s">
        <v>891</v>
      </c>
      <c r="C376" s="108" t="s">
        <v>137</v>
      </c>
      <c r="D376" s="179">
        <v>0.51542200000000005</v>
      </c>
    </row>
    <row r="377" spans="1:4" x14ac:dyDescent="0.2">
      <c r="A377" s="108" t="s">
        <v>892</v>
      </c>
      <c r="B377" s="108" t="s">
        <v>893</v>
      </c>
      <c r="C377" s="108" t="s">
        <v>171</v>
      </c>
      <c r="D377" s="179">
        <v>-0.16248499999999999</v>
      </c>
    </row>
    <row r="378" spans="1:4" x14ac:dyDescent="0.2">
      <c r="A378" s="108" t="s">
        <v>894</v>
      </c>
      <c r="B378" s="108" t="s">
        <v>895</v>
      </c>
      <c r="C378" s="108" t="s">
        <v>134</v>
      </c>
      <c r="D378" s="179">
        <v>5.5570000000000001E-2</v>
      </c>
    </row>
    <row r="379" spans="1:4" x14ac:dyDescent="0.2">
      <c r="A379" s="108" t="s">
        <v>896</v>
      </c>
      <c r="B379" s="108" t="s">
        <v>897</v>
      </c>
      <c r="C379" s="108" t="s">
        <v>134</v>
      </c>
      <c r="D379" s="179">
        <v>-0.35219</v>
      </c>
    </row>
    <row r="380" spans="1:4" x14ac:dyDescent="0.2">
      <c r="A380" s="108" t="s">
        <v>898</v>
      </c>
      <c r="B380" s="108" t="s">
        <v>899</v>
      </c>
      <c r="C380" s="108" t="s">
        <v>171</v>
      </c>
      <c r="D380" s="179">
        <v>-6.2866999999999992E-2</v>
      </c>
    </row>
    <row r="381" spans="1:4" x14ac:dyDescent="0.2">
      <c r="A381" s="108" t="s">
        <v>900</v>
      </c>
      <c r="B381" s="108" t="s">
        <v>901</v>
      </c>
      <c r="C381" s="108" t="s">
        <v>167</v>
      </c>
      <c r="D381" s="179">
        <v>5.6361999999999995E-2</v>
      </c>
    </row>
    <row r="382" spans="1:4" x14ac:dyDescent="0.2">
      <c r="A382" s="108" t="s">
        <v>902</v>
      </c>
      <c r="B382" s="108" t="s">
        <v>903</v>
      </c>
      <c r="C382" s="108" t="s">
        <v>217</v>
      </c>
      <c r="D382" s="179">
        <v>0.20060199999999997</v>
      </c>
    </row>
    <row r="383" spans="1:4" x14ac:dyDescent="0.2">
      <c r="A383" s="108" t="s">
        <v>904</v>
      </c>
      <c r="B383" s="108" t="s">
        <v>905</v>
      </c>
      <c r="C383" s="108" t="s">
        <v>146</v>
      </c>
      <c r="D383" s="179">
        <v>-0.32860999999999996</v>
      </c>
    </row>
    <row r="384" spans="1:4" x14ac:dyDescent="0.2">
      <c r="A384" s="108" t="s">
        <v>906</v>
      </c>
      <c r="B384" s="108" t="s">
        <v>907</v>
      </c>
      <c r="C384" s="108" t="s">
        <v>171</v>
      </c>
      <c r="D384" s="179">
        <v>-0.26077600000000001</v>
      </c>
    </row>
    <row r="385" spans="1:4" x14ac:dyDescent="0.2">
      <c r="A385" s="108" t="s">
        <v>908</v>
      </c>
      <c r="B385" s="108" t="s">
        <v>909</v>
      </c>
      <c r="C385" s="108" t="s">
        <v>217</v>
      </c>
      <c r="D385" s="179">
        <v>0.64640500000000001</v>
      </c>
    </row>
    <row r="386" spans="1:4" x14ac:dyDescent="0.2">
      <c r="A386" s="108" t="s">
        <v>910</v>
      </c>
      <c r="B386" s="108" t="s">
        <v>911</v>
      </c>
      <c r="C386" s="108" t="s">
        <v>137</v>
      </c>
      <c r="D386" s="179">
        <v>6.6314999999999999E-2</v>
      </c>
    </row>
    <row r="387" spans="1:4" x14ac:dyDescent="0.2">
      <c r="A387" s="108" t="s">
        <v>912</v>
      </c>
      <c r="B387" s="108" t="s">
        <v>913</v>
      </c>
      <c r="C387" s="108" t="s">
        <v>249</v>
      </c>
      <c r="D387" s="179">
        <v>0.148003</v>
      </c>
    </row>
    <row r="388" spans="1:4" x14ac:dyDescent="0.2">
      <c r="A388" s="108" t="s">
        <v>914</v>
      </c>
      <c r="B388" s="108" t="s">
        <v>915</v>
      </c>
      <c r="C388" s="108" t="s">
        <v>171</v>
      </c>
      <c r="D388" s="179">
        <v>9.1164999999999996E-2</v>
      </c>
    </row>
    <row r="389" spans="1:4" x14ac:dyDescent="0.2">
      <c r="A389" s="108" t="s">
        <v>916</v>
      </c>
      <c r="B389" s="108" t="s">
        <v>917</v>
      </c>
      <c r="C389" s="108" t="s">
        <v>171</v>
      </c>
      <c r="D389" s="179">
        <v>1.9666000000000003E-2</v>
      </c>
    </row>
    <row r="390" spans="1:4" x14ac:dyDescent="0.2">
      <c r="A390" s="108" t="s">
        <v>918</v>
      </c>
      <c r="B390" s="108" t="s">
        <v>919</v>
      </c>
      <c r="C390" s="108" t="s">
        <v>249</v>
      </c>
      <c r="D390" s="179">
        <v>0.16893899999999998</v>
      </c>
    </row>
    <row r="391" spans="1:4" x14ac:dyDescent="0.2">
      <c r="A391" s="108" t="s">
        <v>920</v>
      </c>
      <c r="B391" s="108" t="s">
        <v>921</v>
      </c>
      <c r="C391" s="108" t="s">
        <v>134</v>
      </c>
      <c r="D391" s="179">
        <v>-0.15720499999999998</v>
      </c>
    </row>
    <row r="392" spans="1:4" x14ac:dyDescent="0.2">
      <c r="A392" s="108" t="s">
        <v>922</v>
      </c>
      <c r="B392" s="108" t="s">
        <v>923</v>
      </c>
      <c r="C392" s="108" t="s">
        <v>171</v>
      </c>
      <c r="D392" s="179">
        <v>-0.29962900000000003</v>
      </c>
    </row>
    <row r="393" spans="1:4" x14ac:dyDescent="0.2">
      <c r="A393" s="108" t="s">
        <v>924</v>
      </c>
      <c r="D393" s="179">
        <v>0</v>
      </c>
    </row>
    <row r="394" spans="1:4" x14ac:dyDescent="0.2">
      <c r="A394" s="108" t="s">
        <v>925</v>
      </c>
      <c r="B394" s="108" t="s">
        <v>926</v>
      </c>
      <c r="C394" s="108" t="s">
        <v>146</v>
      </c>
      <c r="D394" s="179">
        <v>-8.7449999999999986E-2</v>
      </c>
    </row>
    <row r="395" spans="1:4" x14ac:dyDescent="0.2">
      <c r="A395" s="108" t="s">
        <v>927</v>
      </c>
      <c r="B395" s="108" t="s">
        <v>928</v>
      </c>
      <c r="C395" s="108" t="s">
        <v>134</v>
      </c>
      <c r="D395" s="179">
        <v>-0.472464</v>
      </c>
    </row>
    <row r="396" spans="1:4" x14ac:dyDescent="0.2">
      <c r="A396" s="108" t="s">
        <v>929</v>
      </c>
      <c r="B396" s="108" t="s">
        <v>930</v>
      </c>
      <c r="C396" s="108" t="s">
        <v>134</v>
      </c>
      <c r="D396" s="179">
        <v>0</v>
      </c>
    </row>
    <row r="397" spans="1:4" x14ac:dyDescent="0.2">
      <c r="A397" s="108" t="s">
        <v>931</v>
      </c>
      <c r="B397" s="108" t="s">
        <v>932</v>
      </c>
      <c r="C397" s="108" t="s">
        <v>171</v>
      </c>
      <c r="D397" s="179">
        <v>-0.42207800000000001</v>
      </c>
    </row>
    <row r="398" spans="1:4" x14ac:dyDescent="0.2">
      <c r="A398" s="108" t="s">
        <v>933</v>
      </c>
      <c r="B398" s="108" t="s">
        <v>934</v>
      </c>
      <c r="C398" s="108" t="s">
        <v>146</v>
      </c>
      <c r="D398" s="179">
        <v>0.38314399999999998</v>
      </c>
    </row>
    <row r="399" spans="1:4" x14ac:dyDescent="0.2">
      <c r="A399" s="108" t="s">
        <v>935</v>
      </c>
      <c r="B399" s="108" t="s">
        <v>936</v>
      </c>
      <c r="C399" s="108" t="s">
        <v>137</v>
      </c>
      <c r="D399" s="179">
        <v>-0.27479999999999999</v>
      </c>
    </row>
    <row r="400" spans="1:4" x14ac:dyDescent="0.2">
      <c r="A400" s="108" t="s">
        <v>937</v>
      </c>
      <c r="B400" s="108" t="s">
        <v>938</v>
      </c>
      <c r="C400" s="108" t="s">
        <v>141</v>
      </c>
      <c r="D400" s="179">
        <v>0.13747899999999999</v>
      </c>
    </row>
    <row r="401" spans="1:4" x14ac:dyDescent="0.2">
      <c r="A401" s="108" t="s">
        <v>939</v>
      </c>
      <c r="B401" s="108" t="s">
        <v>940</v>
      </c>
      <c r="C401" s="108" t="s">
        <v>171</v>
      </c>
      <c r="D401" s="179">
        <v>-0.39230600000000004</v>
      </c>
    </row>
    <row r="402" spans="1:4" x14ac:dyDescent="0.2">
      <c r="A402" s="108" t="s">
        <v>941</v>
      </c>
      <c r="B402" s="108" t="s">
        <v>942</v>
      </c>
      <c r="C402" s="108" t="s">
        <v>137</v>
      </c>
      <c r="D402" s="179">
        <v>-6.7317000000000002E-2</v>
      </c>
    </row>
    <row r="403" spans="1:4" x14ac:dyDescent="0.2">
      <c r="A403" s="108" t="s">
        <v>943</v>
      </c>
      <c r="B403" s="108" t="s">
        <v>944</v>
      </c>
      <c r="C403" s="108" t="s">
        <v>137</v>
      </c>
      <c r="D403" s="179">
        <v>0.416881</v>
      </c>
    </row>
    <row r="404" spans="1:4" x14ac:dyDescent="0.2">
      <c r="A404" s="108" t="s">
        <v>945</v>
      </c>
      <c r="B404" s="108" t="s">
        <v>946</v>
      </c>
      <c r="C404" s="108" t="s">
        <v>217</v>
      </c>
      <c r="D404" s="179">
        <v>0.80788899999999997</v>
      </c>
    </row>
    <row r="405" spans="1:4" x14ac:dyDescent="0.2">
      <c r="A405" s="108" t="s">
        <v>947</v>
      </c>
      <c r="B405" s="108" t="s">
        <v>948</v>
      </c>
      <c r="C405" s="108" t="s">
        <v>217</v>
      </c>
      <c r="D405" s="179">
        <v>0.56855600000000006</v>
      </c>
    </row>
    <row r="406" spans="1:4" x14ac:dyDescent="0.2">
      <c r="A406" s="108" t="s">
        <v>949</v>
      </c>
      <c r="B406" s="108" t="s">
        <v>950</v>
      </c>
      <c r="C406" s="108" t="s">
        <v>167</v>
      </c>
      <c r="D406" s="179">
        <v>-3.3176999999999998E-2</v>
      </c>
    </row>
    <row r="407" spans="1:4" x14ac:dyDescent="0.2">
      <c r="A407" s="108" t="s">
        <v>951</v>
      </c>
      <c r="B407" s="108" t="s">
        <v>952</v>
      </c>
      <c r="C407" s="108" t="s">
        <v>146</v>
      </c>
      <c r="D407" s="179">
        <v>-0.58191499999999996</v>
      </c>
    </row>
    <row r="408" spans="1:4" x14ac:dyDescent="0.2">
      <c r="A408" s="108" t="s">
        <v>953</v>
      </c>
      <c r="B408" s="108" t="s">
        <v>954</v>
      </c>
      <c r="C408" s="108" t="s">
        <v>134</v>
      </c>
      <c r="D408" s="179">
        <v>0</v>
      </c>
    </row>
    <row r="409" spans="1:4" x14ac:dyDescent="0.2">
      <c r="A409" s="108" t="s">
        <v>955</v>
      </c>
      <c r="B409" s="108" t="s">
        <v>956</v>
      </c>
      <c r="C409" s="108" t="s">
        <v>261</v>
      </c>
      <c r="D409" s="179">
        <v>3.5894000000000002E-2</v>
      </c>
    </row>
    <row r="410" spans="1:4" x14ac:dyDescent="0.2">
      <c r="A410" s="108" t="s">
        <v>957</v>
      </c>
      <c r="B410" s="108" t="s">
        <v>958</v>
      </c>
      <c r="C410" s="108" t="s">
        <v>134</v>
      </c>
      <c r="D410" s="179">
        <v>-0.22914200000000001</v>
      </c>
    </row>
    <row r="411" spans="1:4" x14ac:dyDescent="0.2">
      <c r="A411" s="108" t="s">
        <v>959</v>
      </c>
      <c r="B411" s="108" t="s">
        <v>960</v>
      </c>
      <c r="C411" s="108" t="s">
        <v>146</v>
      </c>
      <c r="D411" s="179">
        <v>-0.19234500000000002</v>
      </c>
    </row>
    <row r="412" spans="1:4" x14ac:dyDescent="0.2">
      <c r="A412" s="108" t="s">
        <v>961</v>
      </c>
      <c r="B412" s="108" t="s">
        <v>962</v>
      </c>
      <c r="C412" s="108" t="s">
        <v>177</v>
      </c>
      <c r="D412" s="179">
        <v>9.4547000000000006E-2</v>
      </c>
    </row>
    <row r="413" spans="1:4" x14ac:dyDescent="0.2">
      <c r="A413" s="108" t="s">
        <v>963</v>
      </c>
      <c r="B413" s="108" t="s">
        <v>964</v>
      </c>
      <c r="C413" s="108" t="s">
        <v>146</v>
      </c>
      <c r="D413" s="179">
        <v>-0.53840100000000002</v>
      </c>
    </row>
    <row r="414" spans="1:4" x14ac:dyDescent="0.2">
      <c r="A414" s="108" t="s">
        <v>965</v>
      </c>
      <c r="B414" s="108" t="s">
        <v>966</v>
      </c>
      <c r="C414" s="108" t="s">
        <v>171</v>
      </c>
      <c r="D414" s="179">
        <v>-0.10929</v>
      </c>
    </row>
    <row r="415" spans="1:4" x14ac:dyDescent="0.2">
      <c r="A415" s="108" t="s">
        <v>967</v>
      </c>
      <c r="B415" s="108" t="s">
        <v>968</v>
      </c>
      <c r="C415" s="108" t="s">
        <v>167</v>
      </c>
      <c r="D415" s="179">
        <v>-0.12509399999999998</v>
      </c>
    </row>
    <row r="416" spans="1:4" x14ac:dyDescent="0.2">
      <c r="A416" s="108" t="s">
        <v>969</v>
      </c>
      <c r="B416" s="108" t="s">
        <v>970</v>
      </c>
      <c r="C416" s="108" t="s">
        <v>177</v>
      </c>
      <c r="D416" s="179">
        <v>0.12633800000000001</v>
      </c>
    </row>
    <row r="417" spans="1:4" x14ac:dyDescent="0.2">
      <c r="A417" s="108" t="s">
        <v>971</v>
      </c>
      <c r="B417" s="108" t="s">
        <v>972</v>
      </c>
      <c r="C417" s="108" t="s">
        <v>171</v>
      </c>
      <c r="D417" s="179">
        <v>-8.7904999999999997E-2</v>
      </c>
    </row>
    <row r="418" spans="1:4" x14ac:dyDescent="0.2">
      <c r="A418" s="108" t="s">
        <v>973</v>
      </c>
      <c r="B418" s="108" t="s">
        <v>974</v>
      </c>
      <c r="C418" s="108" t="s">
        <v>146</v>
      </c>
      <c r="D418" s="179">
        <v>-0.22545899999999999</v>
      </c>
    </row>
    <row r="419" spans="1:4" x14ac:dyDescent="0.2">
      <c r="A419" s="108" t="s">
        <v>975</v>
      </c>
      <c r="B419" s="108" t="s">
        <v>976</v>
      </c>
      <c r="C419" s="108" t="s">
        <v>141</v>
      </c>
      <c r="D419" s="179">
        <v>0.111597</v>
      </c>
    </row>
    <row r="420" spans="1:4" x14ac:dyDescent="0.2">
      <c r="A420" s="108" t="s">
        <v>977</v>
      </c>
      <c r="B420" s="108" t="s">
        <v>978</v>
      </c>
      <c r="C420" s="108" t="s">
        <v>217</v>
      </c>
      <c r="D420" s="179">
        <v>0.31450899999999998</v>
      </c>
    </row>
    <row r="421" spans="1:4" x14ac:dyDescent="0.2">
      <c r="A421" s="108" t="s">
        <v>979</v>
      </c>
      <c r="B421" s="108" t="s">
        <v>980</v>
      </c>
      <c r="C421" s="108" t="s">
        <v>146</v>
      </c>
      <c r="D421" s="179">
        <v>0.21708200000000002</v>
      </c>
    </row>
    <row r="422" spans="1:4" x14ac:dyDescent="0.2">
      <c r="A422" s="108" t="s">
        <v>981</v>
      </c>
      <c r="B422" s="108" t="s">
        <v>982</v>
      </c>
      <c r="C422" s="108" t="s">
        <v>167</v>
      </c>
      <c r="D422" s="179">
        <v>-0.18538900000000003</v>
      </c>
    </row>
    <row r="423" spans="1:4" x14ac:dyDescent="0.2">
      <c r="A423" s="108" t="s">
        <v>983</v>
      </c>
      <c r="B423" s="108" t="s">
        <v>984</v>
      </c>
      <c r="C423" s="108" t="s">
        <v>217</v>
      </c>
      <c r="D423" s="179">
        <v>0.17888100000000001</v>
      </c>
    </row>
    <row r="424" spans="1:4" x14ac:dyDescent="0.2">
      <c r="A424" s="108" t="s">
        <v>985</v>
      </c>
      <c r="B424" s="108" t="s">
        <v>986</v>
      </c>
      <c r="C424" s="108" t="s">
        <v>171</v>
      </c>
      <c r="D424" s="179">
        <v>6.8251999999999993E-2</v>
      </c>
    </row>
    <row r="425" spans="1:4" x14ac:dyDescent="0.2">
      <c r="A425" s="108" t="s">
        <v>987</v>
      </c>
      <c r="B425" s="108" t="s">
        <v>988</v>
      </c>
      <c r="C425" s="108" t="s">
        <v>261</v>
      </c>
      <c r="D425" s="179">
        <v>-1.1731999999999999E-2</v>
      </c>
    </row>
    <row r="426" spans="1:4" x14ac:dyDescent="0.2">
      <c r="A426" s="108" t="s">
        <v>989</v>
      </c>
      <c r="B426" s="108" t="s">
        <v>990</v>
      </c>
      <c r="C426" s="108" t="s">
        <v>171</v>
      </c>
      <c r="D426" s="179">
        <v>-2.4740000000000001E-3</v>
      </c>
    </row>
    <row r="427" spans="1:4" x14ac:dyDescent="0.2">
      <c r="A427" s="108" t="s">
        <v>991</v>
      </c>
      <c r="B427" s="108" t="s">
        <v>992</v>
      </c>
      <c r="C427" s="108" t="s">
        <v>141</v>
      </c>
      <c r="D427" s="179">
        <v>0.36182200000000003</v>
      </c>
    </row>
    <row r="428" spans="1:4" x14ac:dyDescent="0.2">
      <c r="A428" s="108" t="s">
        <v>993</v>
      </c>
      <c r="B428" s="108" t="s">
        <v>994</v>
      </c>
      <c r="C428" s="108" t="s">
        <v>134</v>
      </c>
      <c r="D428" s="179">
        <v>-0.22589899999999999</v>
      </c>
    </row>
    <row r="429" spans="1:4" x14ac:dyDescent="0.2">
      <c r="A429" s="108" t="s">
        <v>995</v>
      </c>
      <c r="B429" s="108" t="s">
        <v>996</v>
      </c>
      <c r="C429" s="108" t="s">
        <v>171</v>
      </c>
      <c r="D429" s="179">
        <v>-0.130305</v>
      </c>
    </row>
    <row r="430" spans="1:4" x14ac:dyDescent="0.2">
      <c r="A430" s="108" t="s">
        <v>186</v>
      </c>
      <c r="B430" s="108" t="s">
        <v>997</v>
      </c>
      <c r="C430" s="108" t="s">
        <v>171</v>
      </c>
      <c r="D430" s="179">
        <v>0.202238</v>
      </c>
    </row>
    <row r="431" spans="1:4" x14ac:dyDescent="0.2">
      <c r="A431" s="108" t="s">
        <v>998</v>
      </c>
      <c r="B431" s="108" t="s">
        <v>999</v>
      </c>
      <c r="C431" s="108" t="s">
        <v>167</v>
      </c>
      <c r="D431" s="179">
        <v>0.36734699999999998</v>
      </c>
    </row>
    <row r="432" spans="1:4" x14ac:dyDescent="0.2">
      <c r="A432" s="108" t="s">
        <v>1000</v>
      </c>
      <c r="B432" s="108" t="s">
        <v>1001</v>
      </c>
      <c r="C432" s="108" t="s">
        <v>177</v>
      </c>
      <c r="D432" s="179">
        <v>4.3818999999999997E-2</v>
      </c>
    </row>
    <row r="433" spans="1:4" x14ac:dyDescent="0.2">
      <c r="A433" s="108" t="s">
        <v>1002</v>
      </c>
      <c r="B433" s="108" t="s">
        <v>1003</v>
      </c>
      <c r="C433" s="108" t="s">
        <v>134</v>
      </c>
      <c r="D433" s="179">
        <v>0.31093599999999999</v>
      </c>
    </row>
    <row r="434" spans="1:4" x14ac:dyDescent="0.2">
      <c r="A434" s="108" t="s">
        <v>1004</v>
      </c>
      <c r="B434" s="108" t="s">
        <v>1005</v>
      </c>
      <c r="C434" s="108" t="s">
        <v>134</v>
      </c>
      <c r="D434" s="179">
        <v>-0.30882399999999999</v>
      </c>
    </row>
    <row r="435" spans="1:4" x14ac:dyDescent="0.2">
      <c r="A435" s="108" t="s">
        <v>1006</v>
      </c>
      <c r="B435" s="108" t="s">
        <v>1007</v>
      </c>
      <c r="C435" s="108" t="s">
        <v>249</v>
      </c>
      <c r="D435" s="179">
        <v>1.533E-2</v>
      </c>
    </row>
    <row r="436" spans="1:4" x14ac:dyDescent="0.2">
      <c r="A436" s="108" t="s">
        <v>1008</v>
      </c>
      <c r="B436" s="108" t="s">
        <v>1009</v>
      </c>
      <c r="C436" s="108" t="s">
        <v>171</v>
      </c>
      <c r="D436" s="179">
        <v>-0.11446099999999999</v>
      </c>
    </row>
    <row r="437" spans="1:4" x14ac:dyDescent="0.2">
      <c r="A437" s="108" t="s">
        <v>1010</v>
      </c>
      <c r="B437" s="108" t="s">
        <v>1011</v>
      </c>
      <c r="C437" s="108" t="s">
        <v>141</v>
      </c>
      <c r="D437" s="179">
        <v>-0.27116200000000001</v>
      </c>
    </row>
    <row r="438" spans="1:4" x14ac:dyDescent="0.2">
      <c r="A438" s="108" t="s">
        <v>1012</v>
      </c>
      <c r="B438" s="108" t="s">
        <v>1013</v>
      </c>
      <c r="C438" s="108" t="s">
        <v>171</v>
      </c>
      <c r="D438" s="179">
        <v>0.18629000000000001</v>
      </c>
    </row>
    <row r="439" spans="1:4" x14ac:dyDescent="0.2">
      <c r="A439" s="108" t="s">
        <v>1014</v>
      </c>
      <c r="B439" s="108" t="s">
        <v>1015</v>
      </c>
      <c r="C439" s="108" t="s">
        <v>137</v>
      </c>
      <c r="D439" s="179">
        <v>1.8195000000000003E-2</v>
      </c>
    </row>
    <row r="440" spans="1:4" x14ac:dyDescent="0.2">
      <c r="A440" s="108" t="s">
        <v>1016</v>
      </c>
      <c r="B440" s="108" t="s">
        <v>1017</v>
      </c>
      <c r="C440" s="108" t="s">
        <v>171</v>
      </c>
      <c r="D440" s="179">
        <v>1.9285E-2</v>
      </c>
    </row>
    <row r="441" spans="1:4" x14ac:dyDescent="0.2">
      <c r="A441" s="108" t="s">
        <v>1018</v>
      </c>
      <c r="B441" s="108" t="s">
        <v>1019</v>
      </c>
      <c r="C441" s="108" t="s">
        <v>134</v>
      </c>
      <c r="D441" s="179">
        <v>-0.36257300000000003</v>
      </c>
    </row>
    <row r="442" spans="1:4" x14ac:dyDescent="0.2">
      <c r="A442" s="108" t="s">
        <v>1020</v>
      </c>
      <c r="B442" s="108" t="s">
        <v>1021</v>
      </c>
      <c r="C442" s="108" t="s">
        <v>146</v>
      </c>
      <c r="D442" s="179">
        <v>-4.2502999999999999E-2</v>
      </c>
    </row>
    <row r="443" spans="1:4" x14ac:dyDescent="0.2">
      <c r="A443" s="108" t="s">
        <v>1022</v>
      </c>
      <c r="B443" s="108" t="s">
        <v>1023</v>
      </c>
      <c r="C443" s="108" t="s">
        <v>134</v>
      </c>
      <c r="D443" s="179">
        <v>0.27356999999999998</v>
      </c>
    </row>
    <row r="444" spans="1:4" x14ac:dyDescent="0.2">
      <c r="A444" s="108" t="s">
        <v>1024</v>
      </c>
      <c r="B444" s="108" t="s">
        <v>1025</v>
      </c>
      <c r="C444" s="108" t="s">
        <v>171</v>
      </c>
      <c r="D444" s="179">
        <v>0.10981199999999999</v>
      </c>
    </row>
    <row r="445" spans="1:4" x14ac:dyDescent="0.2">
      <c r="A445" s="108" t="s">
        <v>1026</v>
      </c>
      <c r="B445" s="108" t="s">
        <v>1027</v>
      </c>
      <c r="C445" s="108" t="s">
        <v>146</v>
      </c>
      <c r="D445" s="179">
        <v>0.40804200000000002</v>
      </c>
    </row>
    <row r="446" spans="1:4" x14ac:dyDescent="0.2">
      <c r="A446" s="108" t="s">
        <v>1028</v>
      </c>
      <c r="B446" s="108" t="s">
        <v>1029</v>
      </c>
      <c r="C446" s="108" t="s">
        <v>146</v>
      </c>
      <c r="D446" s="179">
        <v>2.3096000000000002E-2</v>
      </c>
    </row>
    <row r="447" spans="1:4" x14ac:dyDescent="0.2">
      <c r="A447" s="108" t="s">
        <v>1030</v>
      </c>
      <c r="B447" s="108" t="s">
        <v>1031</v>
      </c>
      <c r="C447" s="108" t="s">
        <v>171</v>
      </c>
      <c r="D447" s="179">
        <v>3.1044000000000002E-2</v>
      </c>
    </row>
    <row r="448" spans="1:4" x14ac:dyDescent="0.2">
      <c r="A448" s="108" t="s">
        <v>1032</v>
      </c>
      <c r="B448" s="108" t="s">
        <v>1033</v>
      </c>
      <c r="C448" s="108" t="s">
        <v>167</v>
      </c>
      <c r="D448" s="179">
        <v>-5.8358999999999994E-2</v>
      </c>
    </row>
    <row r="449" spans="1:4" x14ac:dyDescent="0.2">
      <c r="A449" s="108" t="s">
        <v>1034</v>
      </c>
      <c r="B449" s="108" t="s">
        <v>1035</v>
      </c>
      <c r="C449" s="108" t="s">
        <v>249</v>
      </c>
      <c r="D449" s="179">
        <v>0.46490900000000002</v>
      </c>
    </row>
    <row r="450" spans="1:4" x14ac:dyDescent="0.2">
      <c r="A450" s="108" t="s">
        <v>1036</v>
      </c>
      <c r="B450" s="108" t="s">
        <v>1037</v>
      </c>
      <c r="C450" s="108" t="s">
        <v>171</v>
      </c>
      <c r="D450" s="179">
        <v>-0.23117499999999999</v>
      </c>
    </row>
    <row r="451" spans="1:4" x14ac:dyDescent="0.2">
      <c r="A451" s="108" t="s">
        <v>1038</v>
      </c>
      <c r="B451" s="108" t="s">
        <v>1039</v>
      </c>
      <c r="C451" s="108" t="s">
        <v>134</v>
      </c>
      <c r="D451" s="179">
        <v>0.17013899999999998</v>
      </c>
    </row>
    <row r="452" spans="1:4" x14ac:dyDescent="0.2">
      <c r="A452" s="108" t="s">
        <v>1040</v>
      </c>
      <c r="B452" s="108" t="s">
        <v>1041</v>
      </c>
      <c r="C452" s="108" t="s">
        <v>749</v>
      </c>
      <c r="D452" s="179">
        <v>0.53881800000000002</v>
      </c>
    </row>
    <row r="453" spans="1:4" x14ac:dyDescent="0.2">
      <c r="A453" s="108" t="s">
        <v>1042</v>
      </c>
      <c r="B453" s="108" t="s">
        <v>1043</v>
      </c>
      <c r="C453" s="108" t="s">
        <v>177</v>
      </c>
      <c r="D453" s="179">
        <v>0.30119000000000001</v>
      </c>
    </row>
    <row r="454" spans="1:4" x14ac:dyDescent="0.2">
      <c r="A454" s="108" t="s">
        <v>1044</v>
      </c>
      <c r="B454" s="108" t="s">
        <v>1045</v>
      </c>
      <c r="C454" s="108" t="s">
        <v>749</v>
      </c>
      <c r="D454" s="179">
        <v>-0.15559200000000001</v>
      </c>
    </row>
    <row r="455" spans="1:4" x14ac:dyDescent="0.2">
      <c r="A455" s="108" t="s">
        <v>1046</v>
      </c>
      <c r="B455" s="108" t="s">
        <v>1047</v>
      </c>
      <c r="C455" s="108" t="s">
        <v>134</v>
      </c>
      <c r="D455" s="179">
        <v>-0.39668399999999998</v>
      </c>
    </row>
    <row r="456" spans="1:4" x14ac:dyDescent="0.2">
      <c r="A456" s="108" t="s">
        <v>1048</v>
      </c>
      <c r="B456" s="108" t="s">
        <v>1049</v>
      </c>
      <c r="C456" s="108" t="s">
        <v>146</v>
      </c>
      <c r="D456" s="179">
        <v>8.3751999999999993E-2</v>
      </c>
    </row>
    <row r="457" spans="1:4" x14ac:dyDescent="0.2">
      <c r="A457" s="108" t="s">
        <v>1050</v>
      </c>
      <c r="B457" s="108" t="s">
        <v>1051</v>
      </c>
      <c r="C457" s="108" t="s">
        <v>146</v>
      </c>
      <c r="D457" s="179">
        <v>0.15928800000000001</v>
      </c>
    </row>
    <row r="458" spans="1:4" x14ac:dyDescent="0.2">
      <c r="A458" s="108" t="s">
        <v>1052</v>
      </c>
      <c r="B458" s="108" t="s">
        <v>1053</v>
      </c>
      <c r="C458" s="108" t="s">
        <v>296</v>
      </c>
      <c r="D458" s="179">
        <v>0.38133</v>
      </c>
    </row>
    <row r="459" spans="1:4" x14ac:dyDescent="0.2">
      <c r="A459" s="108" t="s">
        <v>1054</v>
      </c>
      <c r="B459" s="108" t="s">
        <v>1055</v>
      </c>
      <c r="C459" s="108" t="s">
        <v>296</v>
      </c>
      <c r="D459" s="179">
        <v>-3.4409000000000002E-2</v>
      </c>
    </row>
    <row r="460" spans="1:4" x14ac:dyDescent="0.2">
      <c r="A460" s="108" t="s">
        <v>1056</v>
      </c>
      <c r="B460" s="108" t="s">
        <v>1057</v>
      </c>
      <c r="C460" s="108" t="s">
        <v>146</v>
      </c>
      <c r="D460" s="179">
        <v>-7.8060000000000004E-2</v>
      </c>
    </row>
    <row r="461" spans="1:4" x14ac:dyDescent="0.2">
      <c r="A461" s="108" t="s">
        <v>1058</v>
      </c>
      <c r="B461" s="108" t="s">
        <v>1059</v>
      </c>
      <c r="C461" s="108" t="s">
        <v>167</v>
      </c>
      <c r="D461" s="179">
        <v>0</v>
      </c>
    </row>
    <row r="462" spans="1:4" x14ac:dyDescent="0.2">
      <c r="A462" s="108" t="s">
        <v>1060</v>
      </c>
      <c r="B462" s="108" t="s">
        <v>1061</v>
      </c>
      <c r="C462" s="108" t="s">
        <v>249</v>
      </c>
      <c r="D462" s="179">
        <v>0.24296199999999998</v>
      </c>
    </row>
    <row r="463" spans="1:4" x14ac:dyDescent="0.2">
      <c r="A463" s="108" t="s">
        <v>1062</v>
      </c>
      <c r="B463" s="108" t="s">
        <v>1063</v>
      </c>
      <c r="C463" s="108" t="s">
        <v>171</v>
      </c>
      <c r="D463" s="179">
        <v>2.2867999999999999E-2</v>
      </c>
    </row>
    <row r="464" spans="1:4" x14ac:dyDescent="0.2">
      <c r="A464" s="108" t="s">
        <v>1064</v>
      </c>
      <c r="B464" s="108" t="s">
        <v>1065</v>
      </c>
      <c r="C464" s="108" t="s">
        <v>261</v>
      </c>
      <c r="D464" s="179">
        <v>-0.13632999999999998</v>
      </c>
    </row>
    <row r="465" spans="1:4" x14ac:dyDescent="0.2">
      <c r="A465" s="108" t="s">
        <v>1066</v>
      </c>
      <c r="B465" s="108" t="s">
        <v>1067</v>
      </c>
      <c r="C465" s="108" t="s">
        <v>171</v>
      </c>
      <c r="D465" s="179">
        <v>7.7099000000000001E-2</v>
      </c>
    </row>
    <row r="466" spans="1:4" x14ac:dyDescent="0.2">
      <c r="A466" s="108" t="s">
        <v>1068</v>
      </c>
      <c r="B466" s="108" t="s">
        <v>1069</v>
      </c>
      <c r="C466" s="108" t="s">
        <v>217</v>
      </c>
      <c r="D466" s="179">
        <v>0.37822499999999998</v>
      </c>
    </row>
    <row r="467" spans="1:4" x14ac:dyDescent="0.2">
      <c r="A467" s="108" t="s">
        <v>1070</v>
      </c>
      <c r="B467" s="108" t="s">
        <v>1071</v>
      </c>
      <c r="C467" s="108" t="s">
        <v>249</v>
      </c>
      <c r="D467" s="179">
        <v>-9.9476999999999996E-2</v>
      </c>
    </row>
    <row r="468" spans="1:4" x14ac:dyDescent="0.2">
      <c r="A468" s="108" t="s">
        <v>1072</v>
      </c>
      <c r="B468" s="108" t="s">
        <v>1073</v>
      </c>
      <c r="C468" s="108" t="s">
        <v>171</v>
      </c>
      <c r="D468" s="179">
        <v>-0.24773700000000001</v>
      </c>
    </row>
    <row r="469" spans="1:4" x14ac:dyDescent="0.2">
      <c r="A469" s="108" t="s">
        <v>1074</v>
      </c>
      <c r="B469" s="108" t="s">
        <v>1075</v>
      </c>
      <c r="C469" s="108" t="s">
        <v>134</v>
      </c>
      <c r="D469" s="179">
        <v>0.56382500000000002</v>
      </c>
    </row>
    <row r="470" spans="1:4" x14ac:dyDescent="0.2">
      <c r="A470" s="108" t="s">
        <v>1076</v>
      </c>
      <c r="B470" s="108" t="s">
        <v>1077</v>
      </c>
      <c r="C470" s="108" t="s">
        <v>171</v>
      </c>
      <c r="D470" s="179">
        <v>0.21737400000000001</v>
      </c>
    </row>
    <row r="471" spans="1:4" x14ac:dyDescent="0.2">
      <c r="A471" s="108" t="s">
        <v>37</v>
      </c>
      <c r="B471" s="108" t="s">
        <v>1078</v>
      </c>
      <c r="C471" s="108" t="s">
        <v>171</v>
      </c>
      <c r="D471" s="179">
        <v>-0.16267199999999998</v>
      </c>
    </row>
    <row r="472" spans="1:4" x14ac:dyDescent="0.2">
      <c r="A472" s="108" t="s">
        <v>1079</v>
      </c>
      <c r="B472" s="108" t="s">
        <v>1080</v>
      </c>
      <c r="C472" s="108" t="s">
        <v>146</v>
      </c>
      <c r="D472" s="179">
        <v>-0.65223100000000001</v>
      </c>
    </row>
    <row r="473" spans="1:4" x14ac:dyDescent="0.2">
      <c r="A473" s="108" t="s">
        <v>1081</v>
      </c>
      <c r="B473" s="108" t="s">
        <v>1082</v>
      </c>
      <c r="C473" s="108" t="s">
        <v>134</v>
      </c>
      <c r="D473" s="179">
        <v>0.61466200000000004</v>
      </c>
    </row>
    <row r="474" spans="1:4" x14ac:dyDescent="0.2">
      <c r="A474" s="108" t="s">
        <v>1083</v>
      </c>
      <c r="B474" s="108" t="s">
        <v>1084</v>
      </c>
      <c r="C474" s="108" t="s">
        <v>146</v>
      </c>
      <c r="D474" s="179">
        <v>-0.29007899999999998</v>
      </c>
    </row>
    <row r="475" spans="1:4" x14ac:dyDescent="0.2">
      <c r="A475" s="108" t="s">
        <v>1085</v>
      </c>
      <c r="B475" s="108" t="s">
        <v>1086</v>
      </c>
      <c r="C475" s="108" t="s">
        <v>171</v>
      </c>
      <c r="D475" s="179">
        <v>-0.58371699999999993</v>
      </c>
    </row>
    <row r="476" spans="1:4" x14ac:dyDescent="0.2">
      <c r="A476" s="108" t="s">
        <v>1087</v>
      </c>
      <c r="B476" s="108" t="s">
        <v>1088</v>
      </c>
      <c r="C476" s="108" t="s">
        <v>146</v>
      </c>
      <c r="D476" s="179">
        <v>-0.117829</v>
      </c>
    </row>
    <row r="477" spans="1:4" x14ac:dyDescent="0.2">
      <c r="A477" s="108" t="s">
        <v>1089</v>
      </c>
      <c r="B477" s="108" t="s">
        <v>1090</v>
      </c>
      <c r="C477" s="108" t="s">
        <v>171</v>
      </c>
      <c r="D477" s="179">
        <v>-0.11527799999999999</v>
      </c>
    </row>
    <row r="478" spans="1:4" x14ac:dyDescent="0.2">
      <c r="A478" s="108" t="s">
        <v>1091</v>
      </c>
      <c r="B478" s="108" t="s">
        <v>1092</v>
      </c>
      <c r="C478" s="108" t="s">
        <v>217</v>
      </c>
      <c r="D478" s="179">
        <v>0.64154100000000003</v>
      </c>
    </row>
    <row r="479" spans="1:4" x14ac:dyDescent="0.2">
      <c r="A479" s="108" t="s">
        <v>1093</v>
      </c>
      <c r="B479" s="108" t="s">
        <v>1094</v>
      </c>
      <c r="C479" s="108" t="s">
        <v>261</v>
      </c>
      <c r="D479" s="179">
        <v>3.9750000000000002E-3</v>
      </c>
    </row>
    <row r="480" spans="1:4" x14ac:dyDescent="0.2">
      <c r="A480" s="108" t="s">
        <v>1095</v>
      </c>
      <c r="B480" s="108" t="s">
        <v>1096</v>
      </c>
      <c r="C480" s="108" t="s">
        <v>171</v>
      </c>
      <c r="D480" s="179">
        <v>-1.4064999999999999E-2</v>
      </c>
    </row>
    <row r="481" spans="1:4" x14ac:dyDescent="0.2">
      <c r="A481" s="108" t="s">
        <v>1097</v>
      </c>
      <c r="B481" s="108" t="s">
        <v>1098</v>
      </c>
      <c r="C481" s="108" t="s">
        <v>146</v>
      </c>
      <c r="D481" s="179">
        <v>0.114881</v>
      </c>
    </row>
    <row r="482" spans="1:4" x14ac:dyDescent="0.2">
      <c r="A482" s="108" t="s">
        <v>1099</v>
      </c>
      <c r="B482" s="108" t="s">
        <v>1100</v>
      </c>
      <c r="C482" s="108" t="s">
        <v>171</v>
      </c>
      <c r="D482" s="179">
        <v>-8.5396E-2</v>
      </c>
    </row>
    <row r="483" spans="1:4" x14ac:dyDescent="0.2">
      <c r="A483" s="108" t="s">
        <v>1101</v>
      </c>
      <c r="B483" s="108" t="s">
        <v>1102</v>
      </c>
      <c r="C483" s="108" t="s">
        <v>217</v>
      </c>
      <c r="D483" s="179">
        <v>0.38476300000000002</v>
      </c>
    </row>
    <row r="484" spans="1:4" x14ac:dyDescent="0.2">
      <c r="A484" s="108" t="s">
        <v>33</v>
      </c>
      <c r="B484" s="108" t="s">
        <v>1103</v>
      </c>
      <c r="C484" s="108" t="s">
        <v>171</v>
      </c>
      <c r="D484" s="179">
        <v>4.8288999999999999E-2</v>
      </c>
    </row>
    <row r="485" spans="1:4" x14ac:dyDescent="0.2">
      <c r="A485" s="108" t="s">
        <v>1104</v>
      </c>
      <c r="B485" s="108" t="s">
        <v>1105</v>
      </c>
      <c r="C485" s="108" t="s">
        <v>141</v>
      </c>
      <c r="D485" s="179">
        <v>4.2643000000000007E-2</v>
      </c>
    </row>
    <row r="486" spans="1:4" x14ac:dyDescent="0.2">
      <c r="A486" s="108" t="s">
        <v>1106</v>
      </c>
      <c r="B486" s="108" t="s">
        <v>1107</v>
      </c>
      <c r="C486" s="108" t="s">
        <v>146</v>
      </c>
      <c r="D486" s="179">
        <v>8.4746000000000002E-2</v>
      </c>
    </row>
    <row r="487" spans="1:4" x14ac:dyDescent="0.2">
      <c r="A487" s="108" t="s">
        <v>1108</v>
      </c>
      <c r="B487" s="108" t="s">
        <v>1109</v>
      </c>
      <c r="C487" s="108" t="s">
        <v>167</v>
      </c>
      <c r="D487" s="179">
        <v>0.15382799999999999</v>
      </c>
    </row>
    <row r="488" spans="1:4" x14ac:dyDescent="0.2">
      <c r="A488" s="108" t="s">
        <v>1110</v>
      </c>
      <c r="B488" s="108" t="s">
        <v>1111</v>
      </c>
      <c r="C488" s="108" t="s">
        <v>137</v>
      </c>
      <c r="D488" s="179">
        <v>7.7706999999999998E-2</v>
      </c>
    </row>
    <row r="489" spans="1:4" x14ac:dyDescent="0.2">
      <c r="A489" s="108" t="s">
        <v>1112</v>
      </c>
      <c r="B489" s="108" t="s">
        <v>1113</v>
      </c>
      <c r="C489" s="108" t="s">
        <v>141</v>
      </c>
      <c r="D489" s="179">
        <v>-0.11135099999999999</v>
      </c>
    </row>
    <row r="490" spans="1:4" x14ac:dyDescent="0.2">
      <c r="A490" s="108" t="s">
        <v>1114</v>
      </c>
      <c r="B490" s="108" t="s">
        <v>1115</v>
      </c>
      <c r="C490" s="108" t="s">
        <v>171</v>
      </c>
      <c r="D490" s="179">
        <v>-0.26171099999999997</v>
      </c>
    </row>
    <row r="491" spans="1:4" x14ac:dyDescent="0.2">
      <c r="A491" s="108" t="s">
        <v>1116</v>
      </c>
      <c r="B491" s="108" t="s">
        <v>1117</v>
      </c>
      <c r="C491" s="108" t="s">
        <v>137</v>
      </c>
      <c r="D491" s="179">
        <v>0.66406899999999991</v>
      </c>
    </row>
    <row r="492" spans="1:4" x14ac:dyDescent="0.2">
      <c r="A492" s="108" t="s">
        <v>1118</v>
      </c>
      <c r="B492" s="108" t="s">
        <v>1119</v>
      </c>
      <c r="C492" s="108" t="s">
        <v>177</v>
      </c>
      <c r="D492" s="179">
        <v>1.8322000000000001E-2</v>
      </c>
    </row>
    <row r="493" spans="1:4" x14ac:dyDescent="0.2">
      <c r="A493" s="108" t="s">
        <v>77</v>
      </c>
      <c r="B493" s="108" t="s">
        <v>1120</v>
      </c>
      <c r="C493" s="108" t="s">
        <v>146</v>
      </c>
      <c r="D493" s="179">
        <v>-0.280339</v>
      </c>
    </row>
    <row r="494" spans="1:4" x14ac:dyDescent="0.2">
      <c r="A494" s="108" t="s">
        <v>1121</v>
      </c>
      <c r="B494" s="108" t="s">
        <v>1122</v>
      </c>
      <c r="C494" s="108" t="s">
        <v>134</v>
      </c>
      <c r="D494" s="179">
        <v>-6.2578999999999996E-2</v>
      </c>
    </row>
    <row r="495" spans="1:4" x14ac:dyDescent="0.2">
      <c r="A495" s="108" t="s">
        <v>1123</v>
      </c>
      <c r="B495" s="108" t="s">
        <v>1124</v>
      </c>
      <c r="C495" s="108" t="s">
        <v>217</v>
      </c>
      <c r="D495" s="179">
        <v>0.240506</v>
      </c>
    </row>
    <row r="496" spans="1:4" x14ac:dyDescent="0.2">
      <c r="A496" s="108" t="s">
        <v>1125</v>
      </c>
      <c r="B496" s="108" t="s">
        <v>1126</v>
      </c>
      <c r="C496" s="108" t="s">
        <v>134</v>
      </c>
      <c r="D496" s="179">
        <v>-4.233E-2</v>
      </c>
    </row>
    <row r="497" spans="1:4" x14ac:dyDescent="0.2">
      <c r="A497" s="108" t="s">
        <v>1127</v>
      </c>
      <c r="B497" s="108" t="s">
        <v>1128</v>
      </c>
      <c r="C497" s="108" t="s">
        <v>217</v>
      </c>
      <c r="D497" s="179">
        <v>0.37534500000000004</v>
      </c>
    </row>
    <row r="498" spans="1:4" x14ac:dyDescent="0.2">
      <c r="A498" s="108" t="s">
        <v>36</v>
      </c>
      <c r="B498" s="108" t="s">
        <v>1129</v>
      </c>
      <c r="C498" s="108" t="s">
        <v>134</v>
      </c>
      <c r="D498" s="179">
        <v>-8.927199999999999E-2</v>
      </c>
    </row>
    <row r="499" spans="1:4" x14ac:dyDescent="0.2">
      <c r="A499" s="108" t="s">
        <v>1130</v>
      </c>
      <c r="B499" s="108" t="s">
        <v>1131</v>
      </c>
      <c r="C499" s="108" t="s">
        <v>171</v>
      </c>
      <c r="D499" s="179">
        <v>0.31955800000000001</v>
      </c>
    </row>
    <row r="500" spans="1:4" x14ac:dyDescent="0.2">
      <c r="A500" s="108" t="s">
        <v>1132</v>
      </c>
      <c r="B500" s="108" t="s">
        <v>1133</v>
      </c>
      <c r="C500" s="108" t="s">
        <v>146</v>
      </c>
      <c r="D500" s="179">
        <v>-0.41326999999999997</v>
      </c>
    </row>
    <row r="501" spans="1:4" x14ac:dyDescent="0.2">
      <c r="A501" s="108" t="s">
        <v>1134</v>
      </c>
      <c r="B501" s="108" t="s">
        <v>1135</v>
      </c>
      <c r="C501" s="108" t="s">
        <v>141</v>
      </c>
      <c r="D501" s="179">
        <v>-0.15603500000000001</v>
      </c>
    </row>
    <row r="503" spans="1:4" x14ac:dyDescent="0.2">
      <c r="A503" s="108" t="s">
        <v>1136</v>
      </c>
      <c r="D503" s="183">
        <v>3.5299999999999998E-2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V_Lookup">
                <anchor moveWithCells="1" sizeWithCells="1">
                  <from>
                    <xdr:col>9</xdr:col>
                    <xdr:colOff>165100</xdr:colOff>
                    <xdr:row>29</xdr:row>
                    <xdr:rowOff>139700</xdr:rowOff>
                  </from>
                  <to>
                    <xdr:col>11</xdr:col>
                    <xdr:colOff>342900</xdr:colOff>
                    <xdr:row>31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86C05-2137-9F4E-AD6C-288D8B387200}">
  <sheetPr codeName="Sheet12"/>
  <dimension ref="A1:T70"/>
  <sheetViews>
    <sheetView workbookViewId="0">
      <selection activeCell="P36" sqref="P36"/>
    </sheetView>
  </sheetViews>
  <sheetFormatPr baseColWidth="10" defaultColWidth="9.1640625" defaultRowHeight="13" x14ac:dyDescent="0.15"/>
  <cols>
    <col min="1" max="1" width="17.1640625" style="49" customWidth="1"/>
    <col min="2" max="2" width="9.83203125" style="49" customWidth="1"/>
    <col min="3" max="3" width="11.5" style="49" customWidth="1"/>
    <col min="4" max="4" width="10.5" style="49" customWidth="1"/>
    <col min="5" max="5" width="11" style="49" customWidth="1"/>
    <col min="6" max="6" width="11.33203125" style="49" customWidth="1"/>
    <col min="7" max="7" width="11.1640625" style="49" customWidth="1"/>
    <col min="8" max="8" width="11.6640625" style="49" customWidth="1"/>
    <col min="9" max="9" width="11.33203125" style="49" customWidth="1"/>
    <col min="10" max="10" width="11.5" style="49" customWidth="1"/>
    <col min="11" max="11" width="11.33203125" style="49" customWidth="1"/>
    <col min="12" max="12" width="10.1640625" style="49" customWidth="1"/>
    <col min="13" max="13" width="12.1640625" style="49" customWidth="1"/>
    <col min="14" max="18" width="10.33203125" style="49" customWidth="1"/>
    <col min="19" max="16384" width="9.1640625" style="49"/>
  </cols>
  <sheetData>
    <row r="1" spans="1:20" ht="16" x14ac:dyDescent="0.2">
      <c r="A1" s="60" t="s">
        <v>29</v>
      </c>
    </row>
    <row r="2" spans="1:20" s="53" customFormat="1" ht="17" x14ac:dyDescent="0.25">
      <c r="A2" s="51"/>
      <c r="B2" s="51" t="s">
        <v>30</v>
      </c>
      <c r="C2" s="51" t="s">
        <v>31</v>
      </c>
      <c r="D2" s="51" t="s">
        <v>32</v>
      </c>
      <c r="E2" s="51" t="s">
        <v>33</v>
      </c>
      <c r="F2" s="51" t="s">
        <v>34</v>
      </c>
      <c r="G2" s="51" t="s">
        <v>35</v>
      </c>
      <c r="H2" s="51" t="s">
        <v>112</v>
      </c>
      <c r="I2" s="51" t="s">
        <v>113</v>
      </c>
      <c r="J2" s="51" t="s">
        <v>114</v>
      </c>
      <c r="K2" s="51" t="s">
        <v>39</v>
      </c>
      <c r="L2" s="126" t="s">
        <v>115</v>
      </c>
      <c r="N2" s="53" t="s">
        <v>116</v>
      </c>
    </row>
    <row r="3" spans="1:20" x14ac:dyDescent="0.15">
      <c r="A3" s="54" t="s">
        <v>41</v>
      </c>
      <c r="B3" s="127">
        <v>0.28762796659958156</v>
      </c>
      <c r="C3" s="127">
        <v>7.34374268117573E-2</v>
      </c>
      <c r="D3" s="127">
        <v>0.17853931665953796</v>
      </c>
      <c r="E3" s="127">
        <v>0.14314562360423061</v>
      </c>
      <c r="F3" s="127">
        <v>0.23562107160477291</v>
      </c>
      <c r="G3" s="127">
        <v>0.3323904399550488</v>
      </c>
      <c r="H3" s="127">
        <v>0.11891398131628848</v>
      </c>
      <c r="I3" s="127">
        <v>0.20102304808536686</v>
      </c>
      <c r="J3" s="127">
        <v>0.24357695532386786</v>
      </c>
      <c r="K3" s="127">
        <v>0.25469396315174725</v>
      </c>
      <c r="L3" s="128">
        <f>SUMPRODUCT(Wgts, Rets)</f>
        <v>0.24282026025572362</v>
      </c>
      <c r="N3" s="128">
        <v>0.2069</v>
      </c>
      <c r="O3" s="73" t="s">
        <v>117</v>
      </c>
    </row>
    <row r="4" spans="1:20" ht="14.25" customHeight="1" thickBot="1" x14ac:dyDescent="0.3">
      <c r="A4" s="54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9" t="s">
        <v>118</v>
      </c>
      <c r="M4" s="53" t="s">
        <v>43</v>
      </c>
      <c r="N4" s="130"/>
      <c r="O4" s="73"/>
    </row>
    <row r="5" spans="1:20" ht="13.5" customHeight="1" thickBot="1" x14ac:dyDescent="0.2">
      <c r="A5" s="51" t="s">
        <v>44</v>
      </c>
      <c r="B5" s="131">
        <v>8.4500781694346494E-2</v>
      </c>
      <c r="C5" s="131">
        <v>0</v>
      </c>
      <c r="D5" s="131">
        <v>0</v>
      </c>
      <c r="E5" s="131">
        <v>0.20941594344877854</v>
      </c>
      <c r="F5" s="131">
        <v>0</v>
      </c>
      <c r="G5" s="131">
        <v>0.15432956597084521</v>
      </c>
      <c r="H5" s="131">
        <v>0</v>
      </c>
      <c r="I5" s="131">
        <v>0</v>
      </c>
      <c r="J5" s="131">
        <v>0.29571992933180646</v>
      </c>
      <c r="K5" s="131">
        <v>0.25603380335346121</v>
      </c>
      <c r="L5" s="56">
        <f>SQRT(A23)*SQRT(12)</f>
        <v>0.14150373461316507</v>
      </c>
      <c r="M5" s="58">
        <f>SUM(B5:K5)</f>
        <v>1.0000000237992379</v>
      </c>
      <c r="N5" s="128">
        <v>0.1636</v>
      </c>
      <c r="O5" s="132" t="s">
        <v>119</v>
      </c>
    </row>
    <row r="6" spans="1:20" ht="13.5" customHeight="1" x14ac:dyDescent="0.15">
      <c r="A6" s="51"/>
      <c r="B6" s="59"/>
      <c r="C6" s="59"/>
      <c r="D6" s="59"/>
      <c r="E6" s="59"/>
      <c r="F6" s="59"/>
      <c r="G6" s="59"/>
      <c r="H6" s="59"/>
      <c r="I6" s="59"/>
      <c r="J6" s="59"/>
      <c r="K6" s="59"/>
      <c r="L6" s="55"/>
      <c r="M6" s="58"/>
      <c r="T6" s="132"/>
    </row>
    <row r="7" spans="1:20" ht="16" x14ac:dyDescent="0.2">
      <c r="A7" s="60" t="s">
        <v>45</v>
      </c>
      <c r="B7" s="61" t="s">
        <v>46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3"/>
    </row>
    <row r="8" spans="1:20" ht="14" thickBot="1" x14ac:dyDescent="0.2">
      <c r="B8" s="51" t="str">
        <f>B2</f>
        <v>AAPL</v>
      </c>
      <c r="C8" s="51" t="str">
        <f t="shared" ref="C8:K8" si="0">C2</f>
        <v>HOG</v>
      </c>
      <c r="D8" s="51" t="str">
        <f t="shared" si="0"/>
        <v>DIS</v>
      </c>
      <c r="E8" s="51" t="str">
        <f t="shared" si="0"/>
        <v>WMT</v>
      </c>
      <c r="F8" s="51" t="str">
        <f t="shared" si="0"/>
        <v>BBY</v>
      </c>
      <c r="G8" s="51" t="str">
        <f t="shared" si="0"/>
        <v>AMZN</v>
      </c>
      <c r="H8" s="51" t="str">
        <f t="shared" si="0"/>
        <v>GS</v>
      </c>
      <c r="I8" s="51" t="str">
        <f t="shared" si="0"/>
        <v>GOOG</v>
      </c>
      <c r="J8" s="51" t="str">
        <f t="shared" si="0"/>
        <v>HD</v>
      </c>
      <c r="K8" s="51" t="str">
        <f t="shared" si="0"/>
        <v>MSFT</v>
      </c>
      <c r="L8" s="51"/>
    </row>
    <row r="9" spans="1:20" ht="15" x14ac:dyDescent="0.2">
      <c r="A9" s="62" t="s">
        <v>30</v>
      </c>
      <c r="B9" s="133">
        <f>'[1]Input Data'!O5</f>
        <v>6.2683290797696575E-3</v>
      </c>
      <c r="C9" s="134">
        <f>'[1]Input Data'!P5</f>
        <v>2.1650927388637171E-3</v>
      </c>
      <c r="D9" s="134">
        <f>'[1]Input Data'!Q5</f>
        <v>1.9005460802967986E-3</v>
      </c>
      <c r="E9" s="134">
        <f>'[1]Input Data'!R5</f>
        <v>7.352241649115082E-4</v>
      </c>
      <c r="F9" s="134">
        <f>'[1]Input Data'!S5</f>
        <v>2.4860193597258809E-3</v>
      </c>
      <c r="G9" s="134">
        <f>'[1]Input Data'!T5</f>
        <v>2.5490705634767879E-3</v>
      </c>
      <c r="H9" s="134">
        <f>'[1]Input Data'!U5</f>
        <v>2.4429230555979937E-3</v>
      </c>
      <c r="I9" s="134">
        <f>'[1]Input Data'!V5</f>
        <v>1.9782211926449716E-3</v>
      </c>
      <c r="J9" s="134">
        <f>'[1]Input Data'!W5</f>
        <v>1.3409444858748349E-3</v>
      </c>
      <c r="K9" s="135">
        <f>'[1]Input Data'!X5</f>
        <v>2.1984750866270043E-3</v>
      </c>
      <c r="L9" s="136"/>
    </row>
    <row r="10" spans="1:20" ht="15" x14ac:dyDescent="0.2">
      <c r="A10" s="62" t="s">
        <v>31</v>
      </c>
      <c r="B10" s="137">
        <f>'[1]Input Data'!O6</f>
        <v>2.1650927388637171E-3</v>
      </c>
      <c r="C10" s="138">
        <f>'[1]Input Data'!P6</f>
        <v>8.2645701882605033E-3</v>
      </c>
      <c r="D10" s="138">
        <f>'[1]Input Data'!Q6</f>
        <v>2.1395625579529762E-3</v>
      </c>
      <c r="E10" s="138">
        <f>'[1]Input Data'!R6</f>
        <v>5.9013111714134082E-4</v>
      </c>
      <c r="F10" s="138">
        <f>'[1]Input Data'!S6</f>
        <v>4.257128869033391E-3</v>
      </c>
      <c r="G10" s="138">
        <f>'[1]Input Data'!T6</f>
        <v>1.3094800839135588E-3</v>
      </c>
      <c r="H10" s="138">
        <f>'[1]Input Data'!U6</f>
        <v>3.4605155459660128E-3</v>
      </c>
      <c r="I10" s="138">
        <f>'[1]Input Data'!V6</f>
        <v>1.8259397396344329E-3</v>
      </c>
      <c r="J10" s="138">
        <f>'[1]Input Data'!W6</f>
        <v>2.1653216274736243E-3</v>
      </c>
      <c r="K10" s="139">
        <f>'[1]Input Data'!X6</f>
        <v>1.2973233748085086E-3</v>
      </c>
      <c r="L10" s="136"/>
    </row>
    <row r="11" spans="1:20" ht="15" x14ac:dyDescent="0.2">
      <c r="A11" s="62" t="s">
        <v>32</v>
      </c>
      <c r="B11" s="137">
        <f>'[1]Input Data'!O7</f>
        <v>1.9005460802967986E-3</v>
      </c>
      <c r="C11" s="138">
        <f>'[1]Input Data'!P7</f>
        <v>2.1395625579529762E-3</v>
      </c>
      <c r="D11" s="138">
        <f>'[1]Input Data'!Q7</f>
        <v>4.6250980753990926E-3</v>
      </c>
      <c r="E11" s="138">
        <f>'[1]Input Data'!R7</f>
        <v>7.4802784839446098E-4</v>
      </c>
      <c r="F11" s="138">
        <f>'[1]Input Data'!S7</f>
        <v>2.4355441713720741E-3</v>
      </c>
      <c r="G11" s="138">
        <f>'[1]Input Data'!T7</f>
        <v>1.516323149896869E-3</v>
      </c>
      <c r="H11" s="138">
        <f>'[1]Input Data'!U7</f>
        <v>3.2823530966486405E-3</v>
      </c>
      <c r="I11" s="138">
        <f>'[1]Input Data'!V7</f>
        <v>1.8531030278038285E-3</v>
      </c>
      <c r="J11" s="138">
        <f>'[1]Input Data'!W7</f>
        <v>1.7526183224188161E-3</v>
      </c>
      <c r="K11" s="139">
        <f>'[1]Input Data'!X7</f>
        <v>1.6172431429895143E-3</v>
      </c>
      <c r="L11" s="136"/>
    </row>
    <row r="12" spans="1:20" ht="15" x14ac:dyDescent="0.2">
      <c r="A12" s="62" t="s">
        <v>33</v>
      </c>
      <c r="B12" s="137">
        <f>'[1]Input Data'!O8</f>
        <v>7.352241649115082E-4</v>
      </c>
      <c r="C12" s="138">
        <f>'[1]Input Data'!P8</f>
        <v>5.9013111714134082E-4</v>
      </c>
      <c r="D12" s="138">
        <f>'[1]Input Data'!Q8</f>
        <v>7.4802784839446098E-4</v>
      </c>
      <c r="E12" s="138">
        <f>'[1]Input Data'!R8</f>
        <v>2.4007774305636847E-3</v>
      </c>
      <c r="F12" s="138">
        <f>'[1]Input Data'!S8</f>
        <v>1.2862228983740083E-3</v>
      </c>
      <c r="G12" s="138">
        <f>'[1]Input Data'!T8</f>
        <v>5.23521298312805E-4</v>
      </c>
      <c r="H12" s="138">
        <f>'[1]Input Data'!U8</f>
        <v>4.377883591299996E-4</v>
      </c>
      <c r="I12" s="138">
        <f>'[1]Input Data'!V8</f>
        <v>2.7728847233448348E-4</v>
      </c>
      <c r="J12" s="138">
        <f>'[1]Input Data'!W8</f>
        <v>5.9103622869282485E-4</v>
      </c>
      <c r="K12" s="139">
        <f>'[1]Input Data'!X8</f>
        <v>3.2422959257236513E-4</v>
      </c>
      <c r="L12" s="136"/>
    </row>
    <row r="13" spans="1:20" ht="15" x14ac:dyDescent="0.2">
      <c r="A13" s="62" t="s">
        <v>34</v>
      </c>
      <c r="B13" s="137">
        <f>'[1]Input Data'!O9</f>
        <v>2.4860193597258809E-3</v>
      </c>
      <c r="C13" s="138">
        <f>'[1]Input Data'!P9</f>
        <v>4.257128869033391E-3</v>
      </c>
      <c r="D13" s="138">
        <f>'[1]Input Data'!Q9</f>
        <v>2.4355441713720741E-3</v>
      </c>
      <c r="E13" s="138">
        <f>'[1]Input Data'!R9</f>
        <v>1.2862228983740083E-3</v>
      </c>
      <c r="F13" s="138">
        <f>'[1]Input Data'!S9</f>
        <v>1.2840680682707783E-2</v>
      </c>
      <c r="G13" s="138">
        <f>'[1]Input Data'!T9</f>
        <v>2.3799851134190452E-3</v>
      </c>
      <c r="H13" s="138">
        <f>'[1]Input Data'!U9</f>
        <v>3.8282456599321927E-3</v>
      </c>
      <c r="I13" s="138">
        <f>'[1]Input Data'!V9</f>
        <v>1.621922063150072E-3</v>
      </c>
      <c r="J13" s="138">
        <f>'[1]Input Data'!W9</f>
        <v>2.5563997286600815E-3</v>
      </c>
      <c r="K13" s="139">
        <f>'[1]Input Data'!X9</f>
        <v>1.9526734298192675E-3</v>
      </c>
      <c r="L13" s="136"/>
    </row>
    <row r="14" spans="1:20" ht="15" x14ac:dyDescent="0.2">
      <c r="A14" s="62" t="s">
        <v>35</v>
      </c>
      <c r="B14" s="137">
        <f>'[1]Input Data'!O10</f>
        <v>2.5490705634767879E-3</v>
      </c>
      <c r="C14" s="138">
        <f>'[1]Input Data'!P10</f>
        <v>1.3094800839135588E-3</v>
      </c>
      <c r="D14" s="138">
        <f>'[1]Input Data'!Q10</f>
        <v>1.516323149896869E-3</v>
      </c>
      <c r="E14" s="138">
        <f>'[1]Input Data'!R10</f>
        <v>5.23521298312805E-4</v>
      </c>
      <c r="F14" s="138">
        <f>'[1]Input Data'!S10</f>
        <v>2.3799851134190452E-3</v>
      </c>
      <c r="G14" s="138">
        <f>'[1]Input Data'!T10</f>
        <v>6.5183542133270675E-3</v>
      </c>
      <c r="H14" s="138">
        <f>'[1]Input Data'!U10</f>
        <v>1.8019645950742588E-3</v>
      </c>
      <c r="I14" s="138">
        <f>'[1]Input Data'!V10</f>
        <v>2.4402518277329751E-3</v>
      </c>
      <c r="J14" s="138">
        <f>'[1]Input Data'!W10</f>
        <v>1.6845748959359846E-3</v>
      </c>
      <c r="K14" s="139">
        <f>'[1]Input Data'!X10</f>
        <v>2.1806290709190201E-3</v>
      </c>
      <c r="L14" s="136"/>
      <c r="M14" s="168" t="s">
        <v>123</v>
      </c>
      <c r="N14" s="170">
        <f>(L3-N15)/L5</f>
        <v>1.5039904129563764</v>
      </c>
    </row>
    <row r="15" spans="1:20" ht="15" x14ac:dyDescent="0.2">
      <c r="A15" s="62" t="s">
        <v>112</v>
      </c>
      <c r="B15" s="137">
        <f>'[1]Input Data'!O11</f>
        <v>2.4429230555979937E-3</v>
      </c>
      <c r="C15" s="138">
        <f>'[1]Input Data'!P11</f>
        <v>3.4605155459660128E-3</v>
      </c>
      <c r="D15" s="138">
        <f>'[1]Input Data'!Q11</f>
        <v>3.2823530966486405E-3</v>
      </c>
      <c r="E15" s="138">
        <f>'[1]Input Data'!R11</f>
        <v>4.377883591299996E-4</v>
      </c>
      <c r="F15" s="138">
        <f>'[1]Input Data'!S11</f>
        <v>3.8282456599321927E-3</v>
      </c>
      <c r="G15" s="138">
        <f>'[1]Input Data'!T11</f>
        <v>1.8019645950742588E-3</v>
      </c>
      <c r="H15" s="138">
        <f>'[1]Input Data'!U11</f>
        <v>7.0062225023223334E-3</v>
      </c>
      <c r="I15" s="138">
        <f>'[1]Input Data'!V11</f>
        <v>1.9688325558045766E-3</v>
      </c>
      <c r="J15" s="138">
        <f>'[1]Input Data'!W11</f>
        <v>2.0984723685752616E-3</v>
      </c>
      <c r="K15" s="139">
        <f>'[1]Input Data'!X11</f>
        <v>1.9719049374985233E-3</v>
      </c>
      <c r="L15" s="136"/>
      <c r="M15" s="168" t="s">
        <v>124</v>
      </c>
      <c r="N15" s="169">
        <v>0.03</v>
      </c>
    </row>
    <row r="16" spans="1:20" ht="15" x14ac:dyDescent="0.2">
      <c r="A16" s="62" t="s">
        <v>113</v>
      </c>
      <c r="B16" s="137">
        <f>'[1]Input Data'!O12</f>
        <v>1.9782211926449716E-3</v>
      </c>
      <c r="C16" s="138">
        <f>'[1]Input Data'!P12</f>
        <v>1.8259397396344329E-3</v>
      </c>
      <c r="D16" s="138">
        <f>'[1]Input Data'!Q12</f>
        <v>1.8531030278038285E-3</v>
      </c>
      <c r="E16" s="138">
        <f>'[1]Input Data'!R12</f>
        <v>2.7728847233448348E-4</v>
      </c>
      <c r="F16" s="138">
        <f>'[1]Input Data'!S12</f>
        <v>1.621922063150072E-3</v>
      </c>
      <c r="G16" s="138">
        <f>'[1]Input Data'!T12</f>
        <v>2.4402518277329751E-3</v>
      </c>
      <c r="H16" s="138">
        <f>'[1]Input Data'!U12</f>
        <v>1.9688325558045766E-3</v>
      </c>
      <c r="I16" s="138">
        <f>'[1]Input Data'!V12</f>
        <v>4.2074694931787697E-3</v>
      </c>
      <c r="J16" s="138">
        <f>'[1]Input Data'!W12</f>
        <v>1.6445330408414545E-3</v>
      </c>
      <c r="K16" s="139">
        <f>'[1]Input Data'!X12</f>
        <v>1.6715541657578198E-3</v>
      </c>
      <c r="L16" s="136"/>
    </row>
    <row r="17" spans="1:13" ht="15" x14ac:dyDescent="0.2">
      <c r="A17" s="62" t="s">
        <v>114</v>
      </c>
      <c r="B17" s="137">
        <f>'[1]Input Data'!O13</f>
        <v>1.3409444858748349E-3</v>
      </c>
      <c r="C17" s="138">
        <f>'[1]Input Data'!P13</f>
        <v>2.1653216274736243E-3</v>
      </c>
      <c r="D17" s="138">
        <f>'[1]Input Data'!Q13</f>
        <v>1.7526183224188161E-3</v>
      </c>
      <c r="E17" s="138">
        <f>'[1]Input Data'!R13</f>
        <v>5.9103622869282485E-4</v>
      </c>
      <c r="F17" s="138">
        <f>'[1]Input Data'!S13</f>
        <v>2.5563997286600815E-3</v>
      </c>
      <c r="G17" s="138">
        <f>'[1]Input Data'!T13</f>
        <v>1.6845748959359846E-3</v>
      </c>
      <c r="H17" s="138">
        <f>'[1]Input Data'!U13</f>
        <v>2.0984723685752616E-3</v>
      </c>
      <c r="I17" s="138">
        <f>'[1]Input Data'!V13</f>
        <v>1.6445330408414545E-3</v>
      </c>
      <c r="J17" s="138">
        <f>'[1]Input Data'!W13</f>
        <v>2.8819913152720888E-3</v>
      </c>
      <c r="K17" s="139">
        <f>'[1]Input Data'!X13</f>
        <v>1.1164580462526329E-3</v>
      </c>
      <c r="L17" s="136"/>
    </row>
    <row r="18" spans="1:13" ht="16" thickBot="1" x14ac:dyDescent="0.25">
      <c r="A18" s="62" t="s">
        <v>39</v>
      </c>
      <c r="B18" s="140">
        <f>'[1]Input Data'!O14</f>
        <v>2.1984750866270043E-3</v>
      </c>
      <c r="C18" s="141">
        <f>'[1]Input Data'!P14</f>
        <v>1.2973233748085086E-3</v>
      </c>
      <c r="D18" s="141">
        <f>'[1]Input Data'!Q14</f>
        <v>1.6172431429895143E-3</v>
      </c>
      <c r="E18" s="141">
        <f>'[1]Input Data'!R14</f>
        <v>3.2422959257236513E-4</v>
      </c>
      <c r="F18" s="141">
        <f>'[1]Input Data'!S14</f>
        <v>1.9526734298192675E-3</v>
      </c>
      <c r="G18" s="141">
        <f>'[1]Input Data'!T14</f>
        <v>2.1806290709190201E-3</v>
      </c>
      <c r="H18" s="141">
        <f>'[1]Input Data'!U14</f>
        <v>1.9719049374985233E-3</v>
      </c>
      <c r="I18" s="141">
        <f>'[1]Input Data'!V14</f>
        <v>1.6715541657578198E-3</v>
      </c>
      <c r="J18" s="141">
        <f>'[1]Input Data'!W14</f>
        <v>1.1164580462526329E-3</v>
      </c>
      <c r="K18" s="142">
        <f>'[1]Input Data'!X14</f>
        <v>3.3509278306506768E-3</v>
      </c>
      <c r="L18" s="136"/>
    </row>
    <row r="19" spans="1:13" x14ac:dyDescent="0.15">
      <c r="A19" s="62"/>
      <c r="B19" s="73"/>
      <c r="C19" s="73"/>
      <c r="D19" s="73"/>
      <c r="E19" s="73"/>
      <c r="F19" s="73"/>
      <c r="G19" s="73"/>
      <c r="H19" s="73"/>
      <c r="I19" s="73"/>
      <c r="J19" s="73"/>
      <c r="K19" s="73"/>
    </row>
    <row r="20" spans="1:13" ht="14" thickBot="1" x14ac:dyDescent="0.2">
      <c r="D20" s="143"/>
    </row>
    <row r="21" spans="1:13" ht="14" thickBot="1" x14ac:dyDescent="0.2">
      <c r="A21" s="144">
        <v>0.32</v>
      </c>
      <c r="B21" s="53" t="s">
        <v>47</v>
      </c>
      <c r="E21" s="51"/>
      <c r="F21" s="51"/>
    </row>
    <row r="22" spans="1:13" ht="14" thickBot="1" x14ac:dyDescent="0.2">
      <c r="E22" s="59"/>
      <c r="F22" s="59"/>
    </row>
    <row r="23" spans="1:13" ht="14" thickBot="1" x14ac:dyDescent="0.2">
      <c r="A23" s="76">
        <f t="array" ref="A23">MMULT(Wgts,MMULT(S,TRANSPOSE(Wgts)))</f>
        <v>1.6686089091227548E-3</v>
      </c>
      <c r="B23" s="53" t="s">
        <v>48</v>
      </c>
      <c r="E23" s="59"/>
      <c r="F23" s="59"/>
    </row>
    <row r="24" spans="1:13" ht="14" thickBot="1" x14ac:dyDescent="0.2">
      <c r="E24" s="59"/>
      <c r="F24" s="59"/>
    </row>
    <row r="25" spans="1:13" x14ac:dyDescent="0.15">
      <c r="A25" s="145"/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7"/>
    </row>
    <row r="26" spans="1:13" x14ac:dyDescent="0.15">
      <c r="A26" s="148"/>
      <c r="B26" s="149"/>
      <c r="C26" s="149"/>
      <c r="D26" s="149"/>
      <c r="E26" s="150"/>
      <c r="F26" s="149"/>
      <c r="G26" s="149"/>
      <c r="H26" s="149"/>
      <c r="I26" s="149"/>
      <c r="J26" s="149"/>
      <c r="K26" s="149"/>
      <c r="L26" s="149"/>
      <c r="M26" s="151"/>
    </row>
    <row r="27" spans="1:13" ht="14" thickBot="1" x14ac:dyDescent="0.2">
      <c r="A27" s="152"/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4"/>
    </row>
    <row r="28" spans="1:13" ht="14" thickBot="1" x14ac:dyDescent="0.2"/>
    <row r="29" spans="1:13" x14ac:dyDescent="0.15">
      <c r="A29" s="155" t="s">
        <v>49</v>
      </c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7"/>
    </row>
    <row r="30" spans="1:13" ht="14" thickBot="1" x14ac:dyDescent="0.2">
      <c r="A30" s="156" t="s">
        <v>50</v>
      </c>
      <c r="B30" s="153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4"/>
    </row>
    <row r="31" spans="1:13" ht="14" thickBot="1" x14ac:dyDescent="0.2">
      <c r="B31" s="157" t="s">
        <v>44</v>
      </c>
      <c r="L31" s="158"/>
      <c r="M31" s="158"/>
    </row>
    <row r="32" spans="1:13" ht="14" thickBot="1" x14ac:dyDescent="0.2">
      <c r="A32" s="159" t="s">
        <v>51</v>
      </c>
      <c r="B32" s="160" t="s">
        <v>30</v>
      </c>
      <c r="C32" s="160" t="s">
        <v>31</v>
      </c>
      <c r="D32" s="160" t="s">
        <v>32</v>
      </c>
      <c r="E32" s="160" t="s">
        <v>33</v>
      </c>
      <c r="F32" s="160" t="s">
        <v>34</v>
      </c>
      <c r="G32" s="160" t="s">
        <v>35</v>
      </c>
      <c r="H32" s="160" t="s">
        <v>112</v>
      </c>
      <c r="I32" s="160" t="s">
        <v>113</v>
      </c>
      <c r="J32" s="160" t="s">
        <v>114</v>
      </c>
      <c r="K32" s="160" t="s">
        <v>39</v>
      </c>
      <c r="L32" s="161" t="s">
        <v>52</v>
      </c>
      <c r="M32" s="162" t="s">
        <v>51</v>
      </c>
    </row>
    <row r="33" spans="1:15" x14ac:dyDescent="0.15">
      <c r="A33" s="163">
        <v>0.12</v>
      </c>
      <c r="B33" s="164">
        <v>-9.9999999998130898E-8</v>
      </c>
      <c r="C33" s="164">
        <v>0.28672137775856077</v>
      </c>
      <c r="D33" s="164">
        <v>0</v>
      </c>
      <c r="E33" s="164">
        <v>0.58292093737514561</v>
      </c>
      <c r="F33" s="164">
        <v>0</v>
      </c>
      <c r="G33" s="164">
        <v>0</v>
      </c>
      <c r="H33" s="164">
        <v>0.13035778486629376</v>
      </c>
      <c r="I33" s="164">
        <v>0</v>
      </c>
      <c r="J33" s="164">
        <v>0</v>
      </c>
      <c r="K33" s="164">
        <v>0</v>
      </c>
      <c r="L33" s="165">
        <v>0.16012762683288576</v>
      </c>
      <c r="M33" s="166">
        <f t="shared" ref="M33:M62" si="1">A33</f>
        <v>0.12</v>
      </c>
      <c r="N33" s="158"/>
      <c r="O33" s="158"/>
    </row>
    <row r="34" spans="1:15" x14ac:dyDescent="0.15">
      <c r="A34" s="163">
        <v>0.14000000000000001</v>
      </c>
      <c r="B34" s="164">
        <v>0</v>
      </c>
      <c r="C34" s="164">
        <v>0.13410605997368921</v>
      </c>
      <c r="D34" s="164">
        <v>1.5164771634930746E-3</v>
      </c>
      <c r="E34" s="164">
        <v>0.60790560407030836</v>
      </c>
      <c r="F34" s="164">
        <v>0</v>
      </c>
      <c r="G34" s="164">
        <v>0</v>
      </c>
      <c r="H34" s="164">
        <v>0.11134342475465032</v>
      </c>
      <c r="I34" s="164">
        <v>0.13679310008733797</v>
      </c>
      <c r="J34" s="164">
        <v>0</v>
      </c>
      <c r="K34" s="164">
        <v>8.3353435371403221E-3</v>
      </c>
      <c r="L34" s="165">
        <v>0.14077262426233478</v>
      </c>
      <c r="M34" s="166">
        <f t="shared" si="1"/>
        <v>0.14000000000000001</v>
      </c>
      <c r="N34" s="158"/>
      <c r="O34" s="158"/>
    </row>
    <row r="35" spans="1:15" x14ac:dyDescent="0.15">
      <c r="A35" s="163">
        <v>0.16</v>
      </c>
      <c r="B35" s="164">
        <v>0</v>
      </c>
      <c r="C35" s="164">
        <v>8.7646538934227691E-2</v>
      </c>
      <c r="D35" s="164">
        <v>1.5179142719158274E-2</v>
      </c>
      <c r="E35" s="164">
        <v>0.55011530234043649</v>
      </c>
      <c r="F35" s="164">
        <v>0</v>
      </c>
      <c r="G35" s="164">
        <v>0</v>
      </c>
      <c r="H35" s="164">
        <v>6.2755054811714506E-2</v>
      </c>
      <c r="I35" s="164">
        <v>0.13738195868657174</v>
      </c>
      <c r="J35" s="164">
        <v>3.5328440616408455E-2</v>
      </c>
      <c r="K35" s="164">
        <v>0.11159355537577749</v>
      </c>
      <c r="L35" s="165">
        <v>0.13156727156789855</v>
      </c>
      <c r="M35" s="166">
        <f t="shared" si="1"/>
        <v>0.16</v>
      </c>
    </row>
    <row r="36" spans="1:15" x14ac:dyDescent="0.15">
      <c r="A36" s="163">
        <v>0.18</v>
      </c>
      <c r="B36" s="164">
        <v>0</v>
      </c>
      <c r="C36" s="164">
        <v>4.4733070799090634E-2</v>
      </c>
      <c r="D36" s="164">
        <v>1.3551237241636835E-2</v>
      </c>
      <c r="E36" s="164">
        <v>0.49027640291550528</v>
      </c>
      <c r="F36" s="164">
        <v>0</v>
      </c>
      <c r="G36" s="164">
        <v>0</v>
      </c>
      <c r="H36" s="164">
        <v>2.1768072966991351E-2</v>
      </c>
      <c r="I36" s="164">
        <v>0.11941336137110324</v>
      </c>
      <c r="J36" s="164">
        <v>0.13487789212900705</v>
      </c>
      <c r="K36" s="164">
        <v>0.17537995183377458</v>
      </c>
      <c r="L36" s="165">
        <v>0.12659929846378357</v>
      </c>
      <c r="M36" s="166">
        <f t="shared" si="1"/>
        <v>0.18</v>
      </c>
    </row>
    <row r="37" spans="1:15" x14ac:dyDescent="0.15">
      <c r="A37" s="163">
        <v>0.2</v>
      </c>
      <c r="B37" s="164">
        <v>6.347112952044532E-3</v>
      </c>
      <c r="C37" s="164">
        <v>0</v>
      </c>
      <c r="D37" s="164">
        <v>1.1214414217194144E-2</v>
      </c>
      <c r="E37" s="164">
        <v>0.42372580938800919</v>
      </c>
      <c r="F37" s="164">
        <v>0</v>
      </c>
      <c r="G37" s="164">
        <v>9.7158079211840977E-3</v>
      </c>
      <c r="H37" s="164">
        <v>0</v>
      </c>
      <c r="I37" s="164">
        <v>9.3885634769446433E-2</v>
      </c>
      <c r="J37" s="164">
        <v>0.22479201553613234</v>
      </c>
      <c r="K37" s="164">
        <v>0.23031920526333405</v>
      </c>
      <c r="L37" s="165">
        <v>0.12584672282440945</v>
      </c>
      <c r="M37" s="166">
        <f t="shared" si="1"/>
        <v>0.2</v>
      </c>
    </row>
    <row r="38" spans="1:15" x14ac:dyDescent="0.15">
      <c r="A38" s="163">
        <v>0.22</v>
      </c>
      <c r="B38" s="164">
        <v>4.20864489433437E-2</v>
      </c>
      <c r="C38" s="164">
        <v>0</v>
      </c>
      <c r="D38" s="164">
        <v>0</v>
      </c>
      <c r="E38" s="164">
        <v>0.33348536046287902</v>
      </c>
      <c r="F38" s="164">
        <v>0</v>
      </c>
      <c r="G38" s="164">
        <v>7.3293306884628498E-2</v>
      </c>
      <c r="H38" s="164">
        <v>0</v>
      </c>
      <c r="I38" s="164">
        <v>2.763845851351256E-2</v>
      </c>
      <c r="J38" s="164">
        <v>0.27807411501185941</v>
      </c>
      <c r="K38" s="164">
        <v>0.24542231585649124</v>
      </c>
      <c r="L38" s="165">
        <v>0.13005478808246732</v>
      </c>
      <c r="M38" s="166">
        <f t="shared" si="1"/>
        <v>0.22</v>
      </c>
    </row>
    <row r="39" spans="1:15" x14ac:dyDescent="0.15">
      <c r="A39" s="163">
        <v>0.24</v>
      </c>
      <c r="B39" s="164">
        <v>7.7014847588655233E-2</v>
      </c>
      <c r="C39" s="164">
        <v>0</v>
      </c>
      <c r="D39" s="164">
        <v>0</v>
      </c>
      <c r="E39" s="164">
        <v>0.22031388992361178</v>
      </c>
      <c r="F39" s="164">
        <v>0</v>
      </c>
      <c r="G39" s="164">
        <v>0.13941661455197915</v>
      </c>
      <c r="H39" s="164">
        <v>0</v>
      </c>
      <c r="I39" s="164">
        <v>0</v>
      </c>
      <c r="J39" s="164">
        <v>0.31365456905290218</v>
      </c>
      <c r="K39" s="164">
        <v>0.24960007750145813</v>
      </c>
      <c r="L39" s="165">
        <v>0.13964670961866857</v>
      </c>
      <c r="M39" s="166">
        <f t="shared" si="1"/>
        <v>0.24</v>
      </c>
    </row>
    <row r="40" spans="1:15" x14ac:dyDescent="0.15">
      <c r="A40" s="163">
        <v>0.26</v>
      </c>
      <c r="B40" s="164">
        <v>0.1120467902698513</v>
      </c>
      <c r="C40" s="164">
        <v>0</v>
      </c>
      <c r="D40" s="164">
        <v>0</v>
      </c>
      <c r="E40" s="164">
        <v>9.5299484236452056E-2</v>
      </c>
      <c r="F40" s="164">
        <v>0</v>
      </c>
      <c r="G40" s="164">
        <v>0.20628193788919827</v>
      </c>
      <c r="H40" s="164">
        <v>0</v>
      </c>
      <c r="I40" s="164">
        <v>0</v>
      </c>
      <c r="J40" s="164">
        <v>0.34010890765339624</v>
      </c>
      <c r="K40" s="164">
        <v>0.246262879666891</v>
      </c>
      <c r="L40" s="165">
        <v>0.15455417097486712</v>
      </c>
      <c r="M40" s="166">
        <f t="shared" si="1"/>
        <v>0.26</v>
      </c>
    </row>
    <row r="41" spans="1:15" x14ac:dyDescent="0.15">
      <c r="A41" s="163">
        <v>0.28000000000000003</v>
      </c>
      <c r="B41" s="164">
        <v>0.15260131875222624</v>
      </c>
      <c r="C41" s="164">
        <v>0</v>
      </c>
      <c r="D41" s="164">
        <v>0</v>
      </c>
      <c r="E41" s="164">
        <v>0</v>
      </c>
      <c r="F41" s="164">
        <v>0</v>
      </c>
      <c r="G41" s="164">
        <v>0.30754545779542619</v>
      </c>
      <c r="H41" s="164">
        <v>0</v>
      </c>
      <c r="I41" s="164">
        <v>0</v>
      </c>
      <c r="J41" s="164">
        <v>0.32517154794281489</v>
      </c>
      <c r="K41" s="164">
        <v>0.21468167891173848</v>
      </c>
      <c r="L41" s="165">
        <v>0.17385596018287403</v>
      </c>
      <c r="M41" s="166">
        <f t="shared" si="1"/>
        <v>0.28000000000000003</v>
      </c>
    </row>
    <row r="42" spans="1:15" x14ac:dyDescent="0.15">
      <c r="A42" s="163">
        <v>0.3</v>
      </c>
      <c r="B42" s="164">
        <v>0.21086885215032761</v>
      </c>
      <c r="C42" s="164">
        <v>0</v>
      </c>
      <c r="D42" s="164">
        <v>0</v>
      </c>
      <c r="E42" s="164">
        <v>0</v>
      </c>
      <c r="F42" s="164">
        <v>0</v>
      </c>
      <c r="G42" s="164">
        <v>0.51913099147554098</v>
      </c>
      <c r="H42" s="164">
        <v>0</v>
      </c>
      <c r="I42" s="164">
        <v>0</v>
      </c>
      <c r="J42" s="164">
        <v>0.1774840794988746</v>
      </c>
      <c r="K42" s="164">
        <v>9.2516093142527817E-2</v>
      </c>
      <c r="L42" s="165">
        <v>0.20363666059068183</v>
      </c>
      <c r="M42" s="166">
        <f t="shared" si="1"/>
        <v>0.3</v>
      </c>
    </row>
    <row r="43" spans="1:15" x14ac:dyDescent="0.15">
      <c r="A43" s="163">
        <v>0.32</v>
      </c>
      <c r="B43" s="164">
        <v>0.26074794310412497</v>
      </c>
      <c r="C43" s="164">
        <v>0</v>
      </c>
      <c r="D43" s="164">
        <v>0</v>
      </c>
      <c r="E43" s="164">
        <v>0</v>
      </c>
      <c r="F43" s="164">
        <v>0</v>
      </c>
      <c r="G43" s="164">
        <v>0.73116295414614019</v>
      </c>
      <c r="H43" s="164">
        <v>0</v>
      </c>
      <c r="I43" s="164">
        <v>0</v>
      </c>
      <c r="J43" s="164">
        <v>8.089115964813624E-3</v>
      </c>
      <c r="K43" s="164">
        <v>0</v>
      </c>
      <c r="L43" s="165">
        <v>0.24270022413824144</v>
      </c>
      <c r="M43" s="166">
        <f t="shared" si="1"/>
        <v>0.32</v>
      </c>
    </row>
    <row r="44" spans="1:15" x14ac:dyDescent="0.15">
      <c r="A44" s="163"/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5"/>
      <c r="M44" s="166">
        <f t="shared" si="1"/>
        <v>0</v>
      </c>
    </row>
    <row r="45" spans="1:15" x14ac:dyDescent="0.15">
      <c r="A45" s="165"/>
      <c r="B45" s="167"/>
      <c r="C45" s="164"/>
      <c r="D45" s="164"/>
      <c r="E45" s="164"/>
      <c r="F45" s="164"/>
      <c r="G45" s="164"/>
      <c r="H45" s="164"/>
      <c r="I45" s="164"/>
      <c r="J45" s="164"/>
      <c r="K45" s="164"/>
      <c r="L45" s="165"/>
      <c r="M45" s="166">
        <f t="shared" si="1"/>
        <v>0</v>
      </c>
    </row>
    <row r="46" spans="1:15" x14ac:dyDescent="0.15">
      <c r="A46" s="165"/>
      <c r="B46" s="167"/>
      <c r="C46" s="164"/>
      <c r="D46" s="164"/>
      <c r="E46" s="164"/>
      <c r="F46" s="164"/>
      <c r="G46" s="164"/>
      <c r="H46" s="164"/>
      <c r="I46" s="164"/>
      <c r="J46" s="164"/>
      <c r="K46" s="164"/>
      <c r="L46" s="165"/>
      <c r="M46" s="166">
        <f t="shared" si="1"/>
        <v>0</v>
      </c>
    </row>
    <row r="47" spans="1:15" x14ac:dyDescent="0.15">
      <c r="A47" s="165"/>
      <c r="B47" s="167"/>
      <c r="C47" s="164"/>
      <c r="D47" s="164"/>
      <c r="E47" s="164"/>
      <c r="F47" s="164"/>
      <c r="G47" s="164"/>
      <c r="H47" s="164"/>
      <c r="I47" s="164"/>
      <c r="J47" s="164"/>
      <c r="K47" s="164"/>
      <c r="L47" s="165"/>
      <c r="M47" s="166">
        <f t="shared" si="1"/>
        <v>0</v>
      </c>
    </row>
    <row r="48" spans="1:15" x14ac:dyDescent="0.15">
      <c r="A48" s="165"/>
      <c r="B48" s="167"/>
      <c r="C48" s="164"/>
      <c r="D48" s="164"/>
      <c r="E48" s="164"/>
      <c r="F48" s="164"/>
      <c r="G48" s="164"/>
      <c r="H48" s="164"/>
      <c r="I48" s="164"/>
      <c r="J48" s="164"/>
      <c r="K48" s="164"/>
      <c r="L48" s="165"/>
      <c r="M48" s="166">
        <f t="shared" si="1"/>
        <v>0</v>
      </c>
    </row>
    <row r="49" spans="1:13" x14ac:dyDescent="0.15">
      <c r="A49" s="165"/>
      <c r="B49" s="167"/>
      <c r="C49" s="164"/>
      <c r="D49" s="164"/>
      <c r="E49" s="164"/>
      <c r="F49" s="164"/>
      <c r="G49" s="164"/>
      <c r="H49" s="164"/>
      <c r="I49" s="164"/>
      <c r="J49" s="164"/>
      <c r="K49" s="164"/>
      <c r="L49" s="165"/>
      <c r="M49" s="166">
        <f t="shared" si="1"/>
        <v>0</v>
      </c>
    </row>
    <row r="50" spans="1:13" x14ac:dyDescent="0.15">
      <c r="A50" s="165"/>
      <c r="B50" s="167"/>
      <c r="C50" s="164"/>
      <c r="D50" s="164"/>
      <c r="E50" s="164"/>
      <c r="F50" s="164"/>
      <c r="G50" s="164"/>
      <c r="H50" s="164"/>
      <c r="I50" s="164"/>
      <c r="J50" s="164"/>
      <c r="K50" s="164"/>
      <c r="L50" s="165"/>
      <c r="M50" s="166">
        <f t="shared" si="1"/>
        <v>0</v>
      </c>
    </row>
    <row r="51" spans="1:13" x14ac:dyDescent="0.15">
      <c r="A51" s="165"/>
      <c r="B51" s="167"/>
      <c r="C51" s="164"/>
      <c r="D51" s="164"/>
      <c r="E51" s="164"/>
      <c r="F51" s="164"/>
      <c r="G51" s="164"/>
      <c r="H51" s="164"/>
      <c r="I51" s="164"/>
      <c r="J51" s="164"/>
      <c r="K51" s="164"/>
      <c r="L51" s="165"/>
      <c r="M51" s="166">
        <f t="shared" si="1"/>
        <v>0</v>
      </c>
    </row>
    <row r="52" spans="1:13" x14ac:dyDescent="0.15">
      <c r="A52" s="165"/>
      <c r="B52" s="167"/>
      <c r="C52" s="164"/>
      <c r="D52" s="164"/>
      <c r="E52" s="164"/>
      <c r="F52" s="164"/>
      <c r="G52" s="164"/>
      <c r="H52" s="164"/>
      <c r="I52" s="164"/>
      <c r="J52" s="164"/>
      <c r="K52" s="164"/>
      <c r="L52" s="165"/>
      <c r="M52" s="166">
        <f t="shared" si="1"/>
        <v>0</v>
      </c>
    </row>
    <row r="53" spans="1:13" x14ac:dyDescent="0.15">
      <c r="A53" s="165"/>
      <c r="B53" s="167"/>
      <c r="C53" s="164"/>
      <c r="D53" s="164"/>
      <c r="E53" s="164"/>
      <c r="F53" s="164"/>
      <c r="G53" s="164"/>
      <c r="H53" s="164"/>
      <c r="I53" s="164"/>
      <c r="J53" s="164"/>
      <c r="K53" s="164"/>
      <c r="L53" s="165"/>
      <c r="M53" s="166">
        <f t="shared" si="1"/>
        <v>0</v>
      </c>
    </row>
    <row r="54" spans="1:13" x14ac:dyDescent="0.15">
      <c r="A54" s="165"/>
      <c r="B54" s="167"/>
      <c r="C54" s="164"/>
      <c r="D54" s="164"/>
      <c r="E54" s="164"/>
      <c r="F54" s="164"/>
      <c r="G54" s="164"/>
      <c r="H54" s="164"/>
      <c r="I54" s="164"/>
      <c r="J54" s="164"/>
      <c r="K54" s="164"/>
      <c r="L54" s="165"/>
      <c r="M54" s="166">
        <f t="shared" si="1"/>
        <v>0</v>
      </c>
    </row>
    <row r="55" spans="1:13" x14ac:dyDescent="0.15">
      <c r="A55" s="165"/>
      <c r="B55" s="167"/>
      <c r="C55" s="164"/>
      <c r="D55" s="164"/>
      <c r="E55" s="164"/>
      <c r="F55" s="164"/>
      <c r="G55" s="164"/>
      <c r="H55" s="164"/>
      <c r="I55" s="164"/>
      <c r="J55" s="164"/>
      <c r="K55" s="164"/>
      <c r="L55" s="165"/>
      <c r="M55" s="166">
        <f t="shared" si="1"/>
        <v>0</v>
      </c>
    </row>
    <row r="56" spans="1:13" x14ac:dyDescent="0.15">
      <c r="A56" s="165"/>
      <c r="B56" s="167"/>
      <c r="C56" s="164"/>
      <c r="D56" s="164"/>
      <c r="E56" s="164"/>
      <c r="F56" s="164"/>
      <c r="G56" s="164"/>
      <c r="H56" s="164"/>
      <c r="I56" s="164"/>
      <c r="J56" s="164"/>
      <c r="K56" s="164"/>
      <c r="L56" s="165"/>
      <c r="M56" s="166">
        <f t="shared" si="1"/>
        <v>0</v>
      </c>
    </row>
    <row r="57" spans="1:13" x14ac:dyDescent="0.15">
      <c r="A57" s="165"/>
      <c r="B57" s="167"/>
      <c r="C57" s="164"/>
      <c r="D57" s="164"/>
      <c r="E57" s="164"/>
      <c r="F57" s="164"/>
      <c r="G57" s="164"/>
      <c r="H57" s="164"/>
      <c r="I57" s="164"/>
      <c r="J57" s="164"/>
      <c r="K57" s="164"/>
      <c r="L57" s="165"/>
      <c r="M57" s="166">
        <f t="shared" si="1"/>
        <v>0</v>
      </c>
    </row>
    <row r="58" spans="1:13" x14ac:dyDescent="0.15">
      <c r="A58" s="165"/>
      <c r="B58" s="167"/>
      <c r="C58" s="164"/>
      <c r="D58" s="164"/>
      <c r="E58" s="164"/>
      <c r="F58" s="164"/>
      <c r="G58" s="164"/>
      <c r="H58" s="164"/>
      <c r="I58" s="164"/>
      <c r="J58" s="164"/>
      <c r="K58" s="164"/>
      <c r="L58" s="165"/>
      <c r="M58" s="166">
        <f t="shared" si="1"/>
        <v>0</v>
      </c>
    </row>
    <row r="59" spans="1:13" x14ac:dyDescent="0.15">
      <c r="A59" s="165"/>
      <c r="B59" s="167"/>
      <c r="C59" s="164"/>
      <c r="D59" s="164"/>
      <c r="E59" s="164"/>
      <c r="F59" s="164"/>
      <c r="G59" s="164"/>
      <c r="H59" s="164"/>
      <c r="I59" s="164"/>
      <c r="J59" s="164"/>
      <c r="K59" s="164"/>
      <c r="L59" s="165"/>
      <c r="M59" s="166">
        <f t="shared" si="1"/>
        <v>0</v>
      </c>
    </row>
    <row r="60" spans="1:13" x14ac:dyDescent="0.15">
      <c r="A60" s="165"/>
      <c r="B60" s="167"/>
      <c r="C60" s="164"/>
      <c r="D60" s="164"/>
      <c r="E60" s="164"/>
      <c r="F60" s="164"/>
      <c r="G60" s="164"/>
      <c r="H60" s="164"/>
      <c r="I60" s="164"/>
      <c r="J60" s="164"/>
      <c r="K60" s="164"/>
      <c r="L60" s="165"/>
      <c r="M60" s="166">
        <f t="shared" si="1"/>
        <v>0</v>
      </c>
    </row>
    <row r="61" spans="1:13" x14ac:dyDescent="0.15">
      <c r="A61" s="165"/>
      <c r="B61" s="167"/>
      <c r="C61" s="164"/>
      <c r="D61" s="164"/>
      <c r="E61" s="164"/>
      <c r="F61" s="164"/>
      <c r="G61" s="164"/>
      <c r="H61" s="164"/>
      <c r="I61" s="164"/>
      <c r="J61" s="164"/>
      <c r="K61" s="164"/>
      <c r="L61" s="165"/>
      <c r="M61" s="166">
        <f t="shared" si="1"/>
        <v>0</v>
      </c>
    </row>
    <row r="62" spans="1:13" x14ac:dyDescent="0.15">
      <c r="A62" s="165"/>
      <c r="B62" s="167"/>
      <c r="C62" s="164"/>
      <c r="D62" s="164"/>
      <c r="E62" s="164"/>
      <c r="F62" s="164"/>
      <c r="G62" s="164"/>
      <c r="H62" s="164"/>
      <c r="I62" s="164"/>
      <c r="J62" s="164"/>
      <c r="K62" s="164"/>
      <c r="L62" s="165"/>
      <c r="M62" s="166">
        <f t="shared" si="1"/>
        <v>0</v>
      </c>
    </row>
    <row r="63" spans="1:13" x14ac:dyDescent="0.15">
      <c r="M63" s="53"/>
    </row>
    <row r="64" spans="1:13" x14ac:dyDescent="0.15">
      <c r="M64" s="53"/>
    </row>
    <row r="66" spans="12:13" x14ac:dyDescent="0.15">
      <c r="M66" s="53"/>
    </row>
    <row r="67" spans="12:13" x14ac:dyDescent="0.15">
      <c r="M67" s="53"/>
    </row>
    <row r="69" spans="12:13" x14ac:dyDescent="0.15">
      <c r="L69" s="49" t="s">
        <v>120</v>
      </c>
      <c r="M69" s="53" t="s">
        <v>121</v>
      </c>
    </row>
    <row r="70" spans="12:13" x14ac:dyDescent="0.15">
      <c r="M70" s="53" t="s">
        <v>122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5"/>
  <sheetViews>
    <sheetView workbookViewId="0">
      <selection activeCell="E11" sqref="E11"/>
    </sheetView>
  </sheetViews>
  <sheetFormatPr baseColWidth="10" defaultColWidth="8.83203125" defaultRowHeight="15" x14ac:dyDescent="0.2"/>
  <cols>
    <col min="1" max="3" width="8.83203125" style="3"/>
  </cols>
  <sheetData>
    <row r="1" spans="1:3" ht="16" thickBot="1" x14ac:dyDescent="0.25">
      <c r="A1" s="3" t="s">
        <v>4</v>
      </c>
      <c r="B1" s="3" t="s">
        <v>5</v>
      </c>
      <c r="C1" s="3" t="s">
        <v>6</v>
      </c>
    </row>
    <row r="2" spans="1:3" ht="16" thickBot="1" x14ac:dyDescent="0.25">
      <c r="A2" s="3">
        <v>7</v>
      </c>
      <c r="B2" s="3">
        <v>9</v>
      </c>
      <c r="C2" s="4">
        <f>area(A2,B2)</f>
        <v>63</v>
      </c>
    </row>
    <row r="5" spans="1:3" x14ac:dyDescent="0.2">
      <c r="A5" s="5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I16"/>
  <sheetViews>
    <sheetView workbookViewId="0">
      <selection activeCell="G28" sqref="G28"/>
    </sheetView>
  </sheetViews>
  <sheetFormatPr baseColWidth="10" defaultColWidth="8.83203125" defaultRowHeight="15" x14ac:dyDescent="0.2"/>
  <cols>
    <col min="1" max="1" width="13.6640625" customWidth="1"/>
    <col min="3" max="3" width="11.5" bestFit="1" customWidth="1"/>
    <col min="6" max="6" width="12.5" bestFit="1" customWidth="1"/>
    <col min="9" max="9" width="10.83203125" bestFit="1" customWidth="1"/>
  </cols>
  <sheetData>
    <row r="1" spans="1:9" ht="19" x14ac:dyDescent="0.25">
      <c r="A1" s="39" t="s">
        <v>24</v>
      </c>
    </row>
    <row r="3" spans="1:9" x14ac:dyDescent="0.2">
      <c r="A3" t="s">
        <v>25</v>
      </c>
      <c r="C3" s="42">
        <v>125000</v>
      </c>
    </row>
    <row r="4" spans="1:9" x14ac:dyDescent="0.2">
      <c r="A4" t="s">
        <v>28</v>
      </c>
      <c r="C4" s="41">
        <v>25000</v>
      </c>
    </row>
    <row r="5" spans="1:9" x14ac:dyDescent="0.2">
      <c r="A5" t="s">
        <v>17</v>
      </c>
      <c r="C5" s="44">
        <v>0.09</v>
      </c>
      <c r="F5" s="45"/>
    </row>
    <row r="6" spans="1:9" x14ac:dyDescent="0.2">
      <c r="A6" t="s">
        <v>26</v>
      </c>
      <c r="C6" s="44">
        <v>0.15</v>
      </c>
    </row>
    <row r="7" spans="1:9" x14ac:dyDescent="0.2">
      <c r="A7" t="s">
        <v>18</v>
      </c>
      <c r="C7" s="40">
        <v>25</v>
      </c>
    </row>
    <row r="9" spans="1:9" x14ac:dyDescent="0.2">
      <c r="A9" s="27" t="s">
        <v>19</v>
      </c>
    </row>
    <row r="10" spans="1:9" ht="18" customHeight="1" x14ac:dyDescent="0.2">
      <c r="A10" s="28" t="s">
        <v>21</v>
      </c>
      <c r="B10" s="29"/>
      <c r="C10" s="12">
        <f>FV_Volatility(C3,C5,C6,C7)</f>
        <v>895214.84281171393</v>
      </c>
      <c r="D10" s="30" t="s">
        <v>22</v>
      </c>
      <c r="E10" s="37"/>
      <c r="F10" s="29"/>
      <c r="G10" s="31"/>
    </row>
    <row r="11" spans="1:9" x14ac:dyDescent="0.2">
      <c r="A11" s="32"/>
      <c r="G11" s="33"/>
    </row>
    <row r="12" spans="1:9" x14ac:dyDescent="0.2">
      <c r="A12" s="32"/>
      <c r="G12" s="33"/>
    </row>
    <row r="13" spans="1:9" x14ac:dyDescent="0.2">
      <c r="A13" s="32" t="s">
        <v>23</v>
      </c>
      <c r="C13" s="46">
        <f>C4*((EXP((C5-C6^2/2)*C7))-1)/(EXP((C5-C6^2/2))-1)</f>
        <v>1880090.5063219711</v>
      </c>
      <c r="G13" s="33"/>
    </row>
    <row r="14" spans="1:9" x14ac:dyDescent="0.2">
      <c r="A14" s="32"/>
      <c r="G14" s="33"/>
      <c r="I14" s="47"/>
    </row>
    <row r="15" spans="1:9" ht="16" thickBot="1" x14ac:dyDescent="0.25">
      <c r="A15" s="32"/>
      <c r="G15" s="33"/>
      <c r="I15" t="s">
        <v>27</v>
      </c>
    </row>
    <row r="16" spans="1:9" x14ac:dyDescent="0.2">
      <c r="A16" s="34" t="s">
        <v>20</v>
      </c>
      <c r="B16" s="35"/>
      <c r="C16" s="38">
        <f>C10+C13</f>
        <v>2775305.3491336852</v>
      </c>
      <c r="D16" s="35"/>
      <c r="E16" s="35"/>
      <c r="F16" s="35"/>
      <c r="G16" s="36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6147" r:id="rId3">
          <objectPr defaultSize="0" autoPict="0" r:id="rId4">
            <anchor moveWithCells="1" sizeWithCells="1">
              <from>
                <xdr:col>3</xdr:col>
                <xdr:colOff>88900</xdr:colOff>
                <xdr:row>10</xdr:row>
                <xdr:rowOff>177800</xdr:rowOff>
              </from>
              <to>
                <xdr:col>6</xdr:col>
                <xdr:colOff>457200</xdr:colOff>
                <xdr:row>14</xdr:row>
                <xdr:rowOff>101600</xdr:rowOff>
              </to>
            </anchor>
          </objectPr>
        </oleObject>
      </mc:Choice>
      <mc:Fallback>
        <oleObject progId="Equation.3" shapeId="6147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FV_Volatility_PMT">
                <anchor moveWithCells="1" sizeWithCells="1">
                  <from>
                    <xdr:col>7</xdr:col>
                    <xdr:colOff>571500</xdr:colOff>
                    <xdr:row>10</xdr:row>
                    <xdr:rowOff>177800</xdr:rowOff>
                  </from>
                  <to>
                    <xdr:col>10</xdr:col>
                    <xdr:colOff>368300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D0D22-ADE0-5F4D-9E01-7CD360F3513C}">
  <sheetPr codeName="Sheet11"/>
  <dimension ref="A1:D2008"/>
  <sheetViews>
    <sheetView workbookViewId="0">
      <selection activeCell="B10" sqref="B10"/>
    </sheetView>
  </sheetViews>
  <sheetFormatPr baseColWidth="10" defaultRowHeight="15" x14ac:dyDescent="0.2"/>
  <cols>
    <col min="1" max="1" width="12.1640625" style="108" customWidth="1"/>
    <col min="2" max="2" width="11" style="108" customWidth="1"/>
    <col min="3" max="16384" width="10.83203125" style="108"/>
  </cols>
  <sheetData>
    <row r="1" spans="1:4" ht="16" x14ac:dyDescent="0.2">
      <c r="A1" s="120" t="s">
        <v>73</v>
      </c>
      <c r="B1" s="121" t="s">
        <v>10</v>
      </c>
      <c r="C1" s="119">
        <v>0.1</v>
      </c>
    </row>
    <row r="2" spans="1:4" ht="16" x14ac:dyDescent="0.2">
      <c r="A2" s="120"/>
      <c r="B2" s="121" t="s">
        <v>101</v>
      </c>
      <c r="C2" s="119">
        <v>0.2</v>
      </c>
    </row>
    <row r="4" spans="1:4" x14ac:dyDescent="0.2">
      <c r="A4" s="108" t="s">
        <v>106</v>
      </c>
    </row>
    <row r="6" spans="1:4" x14ac:dyDescent="0.2">
      <c r="A6" s="108" t="s">
        <v>104</v>
      </c>
    </row>
    <row r="7" spans="1:4" x14ac:dyDescent="0.2">
      <c r="A7" s="122" t="s">
        <v>105</v>
      </c>
    </row>
    <row r="9" spans="1:4" x14ac:dyDescent="0.2">
      <c r="A9" s="123" t="s">
        <v>102</v>
      </c>
      <c r="B9" s="123" t="s">
        <v>103</v>
      </c>
    </row>
    <row r="10" spans="1:4" x14ac:dyDescent="0.2">
      <c r="A10" s="108">
        <f ca="1">NORMSINV(RAND())</f>
        <v>-1.1904095189975015</v>
      </c>
      <c r="B10" s="124">
        <f t="shared" ref="B10:B73" ca="1" si="0">$C$1+A10*$C$2</f>
        <v>-0.13808190379950031</v>
      </c>
      <c r="D10" s="108" t="s">
        <v>107</v>
      </c>
    </row>
    <row r="11" spans="1:4" x14ac:dyDescent="0.2">
      <c r="A11" s="108">
        <f t="shared" ref="A11:A74" ca="1" si="1">NORMSINV(RAND())</f>
        <v>0.56722475649929671</v>
      </c>
      <c r="B11" s="124">
        <f t="shared" ca="1" si="0"/>
        <v>0.21344495129985935</v>
      </c>
    </row>
    <row r="12" spans="1:4" x14ac:dyDescent="0.2">
      <c r="A12" s="108">
        <f t="shared" ca="1" si="1"/>
        <v>1.4508700608938465</v>
      </c>
      <c r="B12" s="124">
        <f t="shared" ca="1" si="0"/>
        <v>0.39017401217876935</v>
      </c>
    </row>
    <row r="13" spans="1:4" x14ac:dyDescent="0.2">
      <c r="A13" s="108">
        <f t="shared" ca="1" si="1"/>
        <v>-0.34166685724953771</v>
      </c>
      <c r="B13" s="124">
        <f t="shared" ca="1" si="0"/>
        <v>3.166662855009246E-2</v>
      </c>
    </row>
    <row r="14" spans="1:4" x14ac:dyDescent="0.2">
      <c r="A14" s="108">
        <f t="shared" ca="1" si="1"/>
        <v>0.75772871046946211</v>
      </c>
      <c r="B14" s="124">
        <f t="shared" ca="1" si="0"/>
        <v>0.25154574209389247</v>
      </c>
    </row>
    <row r="15" spans="1:4" x14ac:dyDescent="0.2">
      <c r="A15" s="108">
        <f t="shared" ca="1" si="1"/>
        <v>1.3132758286038322</v>
      </c>
      <c r="B15" s="124">
        <f t="shared" ca="1" si="0"/>
        <v>0.3626551657207665</v>
      </c>
    </row>
    <row r="16" spans="1:4" x14ac:dyDescent="0.2">
      <c r="A16" s="108">
        <f t="shared" ca="1" si="1"/>
        <v>-0.48346324023627374</v>
      </c>
      <c r="B16" s="124">
        <f t="shared" ca="1" si="0"/>
        <v>3.3073519527452577E-3</v>
      </c>
    </row>
    <row r="17" spans="1:2" x14ac:dyDescent="0.2">
      <c r="A17" s="108">
        <f t="shared" ca="1" si="1"/>
        <v>0.8665789987842144</v>
      </c>
      <c r="B17" s="124">
        <f t="shared" ca="1" si="0"/>
        <v>0.27331579975684289</v>
      </c>
    </row>
    <row r="18" spans="1:2" x14ac:dyDescent="0.2">
      <c r="A18" s="108">
        <f t="shared" ca="1" si="1"/>
        <v>-0.97342001760843522</v>
      </c>
      <c r="B18" s="124">
        <f t="shared" ca="1" si="0"/>
        <v>-9.4684003521687043E-2</v>
      </c>
    </row>
    <row r="19" spans="1:2" x14ac:dyDescent="0.2">
      <c r="A19" s="108">
        <f t="shared" ca="1" si="1"/>
        <v>0.15013789146484405</v>
      </c>
      <c r="B19" s="124">
        <f t="shared" ca="1" si="0"/>
        <v>0.13002757829296882</v>
      </c>
    </row>
    <row r="20" spans="1:2" x14ac:dyDescent="0.2">
      <c r="A20" s="108">
        <f t="shared" ca="1" si="1"/>
        <v>8.5367682425620109E-2</v>
      </c>
      <c r="B20" s="124">
        <f t="shared" ca="1" si="0"/>
        <v>0.11707353648512403</v>
      </c>
    </row>
    <row r="21" spans="1:2" x14ac:dyDescent="0.2">
      <c r="A21" s="108">
        <f t="shared" ca="1" si="1"/>
        <v>1.3566480224348711</v>
      </c>
      <c r="B21" s="124">
        <f t="shared" ca="1" si="0"/>
        <v>0.37132960448697427</v>
      </c>
    </row>
    <row r="22" spans="1:2" x14ac:dyDescent="0.2">
      <c r="A22" s="108">
        <f t="shared" ca="1" si="1"/>
        <v>0.49682800406412425</v>
      </c>
      <c r="B22" s="124">
        <f t="shared" ca="1" si="0"/>
        <v>0.19936560081282487</v>
      </c>
    </row>
    <row r="23" spans="1:2" x14ac:dyDescent="0.2">
      <c r="A23" s="108">
        <f t="shared" ca="1" si="1"/>
        <v>1.2176834099463341</v>
      </c>
      <c r="B23" s="124">
        <f t="shared" ca="1" si="0"/>
        <v>0.34353668198926679</v>
      </c>
    </row>
    <row r="24" spans="1:2" x14ac:dyDescent="0.2">
      <c r="A24" s="108">
        <f t="shared" ca="1" si="1"/>
        <v>0.95345755802438625</v>
      </c>
      <c r="B24" s="124">
        <f t="shared" ca="1" si="0"/>
        <v>0.29069151160487727</v>
      </c>
    </row>
    <row r="25" spans="1:2" x14ac:dyDescent="0.2">
      <c r="A25" s="108">
        <f t="shared" ca="1" si="1"/>
        <v>-1.3688341944957041</v>
      </c>
      <c r="B25" s="124">
        <f t="shared" ca="1" si="0"/>
        <v>-0.17376683889914082</v>
      </c>
    </row>
    <row r="26" spans="1:2" x14ac:dyDescent="0.2">
      <c r="A26" s="108">
        <f t="shared" ca="1" si="1"/>
        <v>4.3649338555524053E-2</v>
      </c>
      <c r="B26" s="124">
        <f t="shared" ca="1" si="0"/>
        <v>0.10872986771110482</v>
      </c>
    </row>
    <row r="27" spans="1:2" x14ac:dyDescent="0.2">
      <c r="A27" s="108">
        <f t="shared" ca="1" si="1"/>
        <v>-0.49678416656168223</v>
      </c>
      <c r="B27" s="124">
        <f t="shared" ca="1" si="0"/>
        <v>6.4316668766355167E-4</v>
      </c>
    </row>
    <row r="28" spans="1:2" x14ac:dyDescent="0.2">
      <c r="A28" s="108">
        <f t="shared" ca="1" si="1"/>
        <v>-1.0116871733357222</v>
      </c>
      <c r="B28" s="124">
        <f t="shared" ca="1" si="0"/>
        <v>-0.10233743466714446</v>
      </c>
    </row>
    <row r="29" spans="1:2" x14ac:dyDescent="0.2">
      <c r="A29" s="108">
        <f t="shared" ca="1" si="1"/>
        <v>3.0462147757438888E-2</v>
      </c>
      <c r="B29" s="124">
        <f t="shared" ca="1" si="0"/>
        <v>0.10609242955148779</v>
      </c>
    </row>
    <row r="30" spans="1:2" x14ac:dyDescent="0.2">
      <c r="A30" s="108">
        <f t="shared" ca="1" si="1"/>
        <v>-0.32827437184522107</v>
      </c>
      <c r="B30" s="124">
        <f t="shared" ca="1" si="0"/>
        <v>3.4345125630955792E-2</v>
      </c>
    </row>
    <row r="31" spans="1:2" x14ac:dyDescent="0.2">
      <c r="A31" s="108">
        <f t="shared" ca="1" si="1"/>
        <v>-0.53545643267546916</v>
      </c>
      <c r="B31" s="124">
        <f t="shared" ca="1" si="0"/>
        <v>-7.0912865350938326E-3</v>
      </c>
    </row>
    <row r="32" spans="1:2" x14ac:dyDescent="0.2">
      <c r="A32" s="108">
        <f t="shared" ca="1" si="1"/>
        <v>-0.85700741746306319</v>
      </c>
      <c r="B32" s="124">
        <f t="shared" ca="1" si="0"/>
        <v>-7.1401483492612633E-2</v>
      </c>
    </row>
    <row r="33" spans="1:2" x14ac:dyDescent="0.2">
      <c r="A33" s="108">
        <f t="shared" ca="1" si="1"/>
        <v>0.97703434823601076</v>
      </c>
      <c r="B33" s="124">
        <f t="shared" ca="1" si="0"/>
        <v>0.2954068696472022</v>
      </c>
    </row>
    <row r="34" spans="1:2" x14ac:dyDescent="0.2">
      <c r="A34" s="108">
        <f t="shared" ca="1" si="1"/>
        <v>-6.8621640466789466E-2</v>
      </c>
      <c r="B34" s="124">
        <f t="shared" ca="1" si="0"/>
        <v>8.6275671906642107E-2</v>
      </c>
    </row>
    <row r="35" spans="1:2" x14ac:dyDescent="0.2">
      <c r="A35" s="108">
        <f t="shared" ca="1" si="1"/>
        <v>-8.1353529854445161E-2</v>
      </c>
      <c r="B35" s="124">
        <f t="shared" ca="1" si="0"/>
        <v>8.3729294029110973E-2</v>
      </c>
    </row>
    <row r="36" spans="1:2" x14ac:dyDescent="0.2">
      <c r="A36" s="108">
        <f t="shared" ca="1" si="1"/>
        <v>-1.7768744205674567</v>
      </c>
      <c r="B36" s="124">
        <f t="shared" ca="1" si="0"/>
        <v>-0.25537488411349141</v>
      </c>
    </row>
    <row r="37" spans="1:2" x14ac:dyDescent="0.2">
      <c r="A37" s="108">
        <f t="shared" ca="1" si="1"/>
        <v>1.1487693315904244</v>
      </c>
      <c r="B37" s="124">
        <f t="shared" ca="1" si="0"/>
        <v>0.3297538663180849</v>
      </c>
    </row>
    <row r="38" spans="1:2" x14ac:dyDescent="0.2">
      <c r="A38" s="108">
        <f t="shared" ca="1" si="1"/>
        <v>4.7373565932556629E-2</v>
      </c>
      <c r="B38" s="124">
        <f t="shared" ca="1" si="0"/>
        <v>0.10947471318651134</v>
      </c>
    </row>
    <row r="39" spans="1:2" x14ac:dyDescent="0.2">
      <c r="A39" s="108">
        <f t="shared" ca="1" si="1"/>
        <v>2.1570258650441918</v>
      </c>
      <c r="B39" s="124">
        <f t="shared" ca="1" si="0"/>
        <v>0.53140517300883838</v>
      </c>
    </row>
    <row r="40" spans="1:2" x14ac:dyDescent="0.2">
      <c r="A40" s="108">
        <f t="shared" ca="1" si="1"/>
        <v>-0.49252440726592095</v>
      </c>
      <c r="B40" s="124">
        <f t="shared" ca="1" si="0"/>
        <v>1.4951185468158046E-3</v>
      </c>
    </row>
    <row r="41" spans="1:2" x14ac:dyDescent="0.2">
      <c r="A41" s="108">
        <f t="shared" ca="1" si="1"/>
        <v>0.19803070468448544</v>
      </c>
      <c r="B41" s="124">
        <f t="shared" ca="1" si="0"/>
        <v>0.13960614093689711</v>
      </c>
    </row>
    <row r="42" spans="1:2" x14ac:dyDescent="0.2">
      <c r="A42" s="108">
        <f t="shared" ca="1" si="1"/>
        <v>1.2256580177409777</v>
      </c>
      <c r="B42" s="124">
        <f t="shared" ca="1" si="0"/>
        <v>0.34513160354819555</v>
      </c>
    </row>
    <row r="43" spans="1:2" x14ac:dyDescent="0.2">
      <c r="A43" s="108">
        <f t="shared" ca="1" si="1"/>
        <v>-4.9636533247397245E-2</v>
      </c>
      <c r="B43" s="124">
        <f t="shared" ca="1" si="0"/>
        <v>9.0072693350520552E-2</v>
      </c>
    </row>
    <row r="44" spans="1:2" x14ac:dyDescent="0.2">
      <c r="A44" s="108">
        <f t="shared" ca="1" si="1"/>
        <v>1.4083048765030513</v>
      </c>
      <c r="B44" s="124">
        <f t="shared" ca="1" si="0"/>
        <v>0.38166097530061027</v>
      </c>
    </row>
    <row r="45" spans="1:2" x14ac:dyDescent="0.2">
      <c r="A45" s="108">
        <f t="shared" ca="1" si="1"/>
        <v>-0.44096275449768829</v>
      </c>
      <c r="B45" s="124">
        <f t="shared" ca="1" si="0"/>
        <v>1.1807449100462344E-2</v>
      </c>
    </row>
    <row r="46" spans="1:2" x14ac:dyDescent="0.2">
      <c r="A46" s="108">
        <f t="shared" ca="1" si="1"/>
        <v>-1.0560756212385105</v>
      </c>
      <c r="B46" s="124">
        <f t="shared" ca="1" si="0"/>
        <v>-0.11121512424770211</v>
      </c>
    </row>
    <row r="47" spans="1:2" x14ac:dyDescent="0.2">
      <c r="A47" s="108">
        <f t="shared" ca="1" si="1"/>
        <v>-0.51337509619533306</v>
      </c>
      <c r="B47" s="124">
        <f t="shared" ca="1" si="0"/>
        <v>-2.6750192390666144E-3</v>
      </c>
    </row>
    <row r="48" spans="1:2" x14ac:dyDescent="0.2">
      <c r="A48" s="108">
        <f t="shared" ca="1" si="1"/>
        <v>0.54046236084104582</v>
      </c>
      <c r="B48" s="124">
        <f t="shared" ca="1" si="0"/>
        <v>0.20809247216820917</v>
      </c>
    </row>
    <row r="49" spans="1:2" x14ac:dyDescent="0.2">
      <c r="A49" s="108">
        <f t="shared" ca="1" si="1"/>
        <v>-0.17557342082320573</v>
      </c>
      <c r="B49" s="124">
        <f t="shared" ca="1" si="0"/>
        <v>6.4885315835358864E-2</v>
      </c>
    </row>
    <row r="50" spans="1:2" x14ac:dyDescent="0.2">
      <c r="A50" s="108">
        <f t="shared" ca="1" si="1"/>
        <v>-1.68313349595356</v>
      </c>
      <c r="B50" s="124">
        <f t="shared" ca="1" si="0"/>
        <v>-0.23662669919071203</v>
      </c>
    </row>
    <row r="51" spans="1:2" x14ac:dyDescent="0.2">
      <c r="A51" s="108">
        <f t="shared" ca="1" si="1"/>
        <v>-2.0490292479084848</v>
      </c>
      <c r="B51" s="124">
        <f t="shared" ca="1" si="0"/>
        <v>-0.30980584958169699</v>
      </c>
    </row>
    <row r="52" spans="1:2" x14ac:dyDescent="0.2">
      <c r="A52" s="108">
        <f t="shared" ca="1" si="1"/>
        <v>8.2924112694720442E-2</v>
      </c>
      <c r="B52" s="124">
        <f t="shared" ca="1" si="0"/>
        <v>0.11658482253894409</v>
      </c>
    </row>
    <row r="53" spans="1:2" x14ac:dyDescent="0.2">
      <c r="A53" s="108">
        <f t="shared" ca="1" si="1"/>
        <v>0.93239557449422805</v>
      </c>
      <c r="B53" s="124">
        <f t="shared" ca="1" si="0"/>
        <v>0.28647911489884559</v>
      </c>
    </row>
    <row r="54" spans="1:2" x14ac:dyDescent="0.2">
      <c r="A54" s="108">
        <f t="shared" ca="1" si="1"/>
        <v>-6.6894840744141232E-2</v>
      </c>
      <c r="B54" s="124">
        <f t="shared" ca="1" si="0"/>
        <v>8.6621031851171759E-2</v>
      </c>
    </row>
    <row r="55" spans="1:2" x14ac:dyDescent="0.2">
      <c r="A55" s="108">
        <f t="shared" ca="1" si="1"/>
        <v>-0.36006982445195268</v>
      </c>
      <c r="B55" s="124">
        <f t="shared" ca="1" si="0"/>
        <v>2.7986035109609467E-2</v>
      </c>
    </row>
    <row r="56" spans="1:2" x14ac:dyDescent="0.2">
      <c r="A56" s="108">
        <f t="shared" ca="1" si="1"/>
        <v>0.89395498183178446</v>
      </c>
      <c r="B56" s="124">
        <f t="shared" ca="1" si="0"/>
        <v>0.2787909963663569</v>
      </c>
    </row>
    <row r="57" spans="1:2" x14ac:dyDescent="0.2">
      <c r="A57" s="108">
        <f t="shared" ca="1" si="1"/>
        <v>-0.28403550739308669</v>
      </c>
      <c r="B57" s="124">
        <f t="shared" ca="1" si="0"/>
        <v>4.3192898521382667E-2</v>
      </c>
    </row>
    <row r="58" spans="1:2" x14ac:dyDescent="0.2">
      <c r="A58" s="108">
        <f t="shared" ca="1" si="1"/>
        <v>-1.4896940922351387</v>
      </c>
      <c r="B58" s="124">
        <f t="shared" ca="1" si="0"/>
        <v>-0.19793881844702774</v>
      </c>
    </row>
    <row r="59" spans="1:2" x14ac:dyDescent="0.2">
      <c r="A59" s="108">
        <f t="shared" ca="1" si="1"/>
        <v>0.24159534652140774</v>
      </c>
      <c r="B59" s="124">
        <f t="shared" ca="1" si="0"/>
        <v>0.14831906930428157</v>
      </c>
    </row>
    <row r="60" spans="1:2" x14ac:dyDescent="0.2">
      <c r="A60" s="108">
        <f t="shared" ca="1" si="1"/>
        <v>1.5041727102325333</v>
      </c>
      <c r="B60" s="124">
        <f t="shared" ca="1" si="0"/>
        <v>0.4008345420465067</v>
      </c>
    </row>
    <row r="61" spans="1:2" x14ac:dyDescent="0.2">
      <c r="A61" s="108">
        <f t="shared" ca="1" si="1"/>
        <v>-0.17377780157780176</v>
      </c>
      <c r="B61" s="124">
        <f t="shared" ca="1" si="0"/>
        <v>6.5244439684439659E-2</v>
      </c>
    </row>
    <row r="62" spans="1:2" x14ac:dyDescent="0.2">
      <c r="A62" s="108">
        <f t="shared" ca="1" si="1"/>
        <v>-0.71716287329600925</v>
      </c>
      <c r="B62" s="124">
        <f t="shared" ca="1" si="0"/>
        <v>-4.3432574659201861E-2</v>
      </c>
    </row>
    <row r="63" spans="1:2" x14ac:dyDescent="0.2">
      <c r="A63" s="108">
        <f t="shared" ca="1" si="1"/>
        <v>1.0139849206793075</v>
      </c>
      <c r="B63" s="124">
        <f t="shared" ca="1" si="0"/>
        <v>0.30279698413586154</v>
      </c>
    </row>
    <row r="64" spans="1:2" x14ac:dyDescent="0.2">
      <c r="A64" s="108">
        <f t="shared" ca="1" si="1"/>
        <v>0.91475944728786684</v>
      </c>
      <c r="B64" s="124">
        <f t="shared" ca="1" si="0"/>
        <v>0.28295188945757338</v>
      </c>
    </row>
    <row r="65" spans="1:2" x14ac:dyDescent="0.2">
      <c r="A65" s="108">
        <f t="shared" ca="1" si="1"/>
        <v>-1.7453023004989836</v>
      </c>
      <c r="B65" s="124">
        <f t="shared" ca="1" si="0"/>
        <v>-0.24906046009979674</v>
      </c>
    </row>
    <row r="66" spans="1:2" x14ac:dyDescent="0.2">
      <c r="A66" s="108">
        <f t="shared" ca="1" si="1"/>
        <v>0.34674048996477735</v>
      </c>
      <c r="B66" s="124">
        <f t="shared" ca="1" si="0"/>
        <v>0.16934809799295547</v>
      </c>
    </row>
    <row r="67" spans="1:2" x14ac:dyDescent="0.2">
      <c r="A67" s="108">
        <f t="shared" ca="1" si="1"/>
        <v>0.86993309976523114</v>
      </c>
      <c r="B67" s="124">
        <f t="shared" ca="1" si="0"/>
        <v>0.27398661995304624</v>
      </c>
    </row>
    <row r="68" spans="1:2" x14ac:dyDescent="0.2">
      <c r="A68" s="108">
        <f t="shared" ca="1" si="1"/>
        <v>-0.36409006742336752</v>
      </c>
      <c r="B68" s="124">
        <f t="shared" ca="1" si="0"/>
        <v>2.7181986515326495E-2</v>
      </c>
    </row>
    <row r="69" spans="1:2" x14ac:dyDescent="0.2">
      <c r="A69" s="108">
        <f t="shared" ca="1" si="1"/>
        <v>0.55675300288712337</v>
      </c>
      <c r="B69" s="124">
        <f t="shared" ca="1" si="0"/>
        <v>0.21135060057742469</v>
      </c>
    </row>
    <row r="70" spans="1:2" x14ac:dyDescent="0.2">
      <c r="A70" s="108">
        <f t="shared" ca="1" si="1"/>
        <v>-0.35611991763316081</v>
      </c>
      <c r="B70" s="124">
        <f t="shared" ca="1" si="0"/>
        <v>2.8776016473367846E-2</v>
      </c>
    </row>
    <row r="71" spans="1:2" x14ac:dyDescent="0.2">
      <c r="A71" s="108">
        <f t="shared" ca="1" si="1"/>
        <v>-1.5185921678914149</v>
      </c>
      <c r="B71" s="124">
        <f t="shared" ca="1" si="0"/>
        <v>-0.20371843357828298</v>
      </c>
    </row>
    <row r="72" spans="1:2" x14ac:dyDescent="0.2">
      <c r="A72" s="108">
        <f t="shared" ca="1" si="1"/>
        <v>0.7771275227605059</v>
      </c>
      <c r="B72" s="124">
        <f t="shared" ca="1" si="0"/>
        <v>0.25542550455210122</v>
      </c>
    </row>
    <row r="73" spans="1:2" x14ac:dyDescent="0.2">
      <c r="A73" s="108">
        <f t="shared" ca="1" si="1"/>
        <v>0.41153840643034229</v>
      </c>
      <c r="B73" s="124">
        <f t="shared" ca="1" si="0"/>
        <v>0.18230768128606847</v>
      </c>
    </row>
    <row r="74" spans="1:2" x14ac:dyDescent="0.2">
      <c r="A74" s="108">
        <f t="shared" ca="1" si="1"/>
        <v>-0.26018472563542883</v>
      </c>
      <c r="B74" s="124">
        <f t="shared" ref="B74:B137" ca="1" si="2">$C$1+A74*$C$2</f>
        <v>4.7963054872914239E-2</v>
      </c>
    </row>
    <row r="75" spans="1:2" x14ac:dyDescent="0.2">
      <c r="A75" s="108">
        <f t="shared" ref="A75:A138" ca="1" si="3">NORMSINV(RAND())</f>
        <v>0.44429212998675566</v>
      </c>
      <c r="B75" s="124">
        <f t="shared" ca="1" si="2"/>
        <v>0.18885842599735114</v>
      </c>
    </row>
    <row r="76" spans="1:2" x14ac:dyDescent="0.2">
      <c r="A76" s="108">
        <f t="shared" ca="1" si="3"/>
        <v>-0.95806397734342319</v>
      </c>
      <c r="B76" s="124">
        <f t="shared" ca="1" si="2"/>
        <v>-9.1612795468684644E-2</v>
      </c>
    </row>
    <row r="77" spans="1:2" x14ac:dyDescent="0.2">
      <c r="A77" s="108">
        <f t="shared" ca="1" si="3"/>
        <v>6.6102757009285196E-2</v>
      </c>
      <c r="B77" s="124">
        <f t="shared" ca="1" si="2"/>
        <v>0.11322055140185705</v>
      </c>
    </row>
    <row r="78" spans="1:2" x14ac:dyDescent="0.2">
      <c r="A78" s="108">
        <f t="shared" ca="1" si="3"/>
        <v>7.752792114689025E-2</v>
      </c>
      <c r="B78" s="124">
        <f t="shared" ca="1" si="2"/>
        <v>0.11550558422937805</v>
      </c>
    </row>
    <row r="79" spans="1:2" x14ac:dyDescent="0.2">
      <c r="A79" s="108">
        <f t="shared" ca="1" si="3"/>
        <v>0.46983385518217763</v>
      </c>
      <c r="B79" s="124">
        <f t="shared" ca="1" si="2"/>
        <v>0.19396677103643553</v>
      </c>
    </row>
    <row r="80" spans="1:2" x14ac:dyDescent="0.2">
      <c r="A80" s="108">
        <f t="shared" ca="1" si="3"/>
        <v>2.2498668437416582</v>
      </c>
      <c r="B80" s="124">
        <f t="shared" ca="1" si="2"/>
        <v>0.54997336874833169</v>
      </c>
    </row>
    <row r="81" spans="1:2" x14ac:dyDescent="0.2">
      <c r="A81" s="108">
        <f t="shared" ca="1" si="3"/>
        <v>-0.74888655484344757</v>
      </c>
      <c r="B81" s="124">
        <f t="shared" ca="1" si="2"/>
        <v>-4.9777310968689509E-2</v>
      </c>
    </row>
    <row r="82" spans="1:2" x14ac:dyDescent="0.2">
      <c r="A82" s="108">
        <f t="shared" ca="1" si="3"/>
        <v>1.265021294082858</v>
      </c>
      <c r="B82" s="124">
        <f t="shared" ca="1" si="2"/>
        <v>0.3530042588165716</v>
      </c>
    </row>
    <row r="83" spans="1:2" x14ac:dyDescent="0.2">
      <c r="A83" s="108">
        <f t="shared" ca="1" si="3"/>
        <v>0.87955812342310646</v>
      </c>
      <c r="B83" s="124">
        <f t="shared" ca="1" si="2"/>
        <v>0.27591162468462127</v>
      </c>
    </row>
    <row r="84" spans="1:2" x14ac:dyDescent="0.2">
      <c r="A84" s="108">
        <f t="shared" ca="1" si="3"/>
        <v>-1.7379966630941934</v>
      </c>
      <c r="B84" s="124">
        <f t="shared" ca="1" si="2"/>
        <v>-0.24759933261883868</v>
      </c>
    </row>
    <row r="85" spans="1:2" x14ac:dyDescent="0.2">
      <c r="A85" s="108">
        <f t="shared" ca="1" si="3"/>
        <v>0.37944072835584847</v>
      </c>
      <c r="B85" s="124">
        <f t="shared" ca="1" si="2"/>
        <v>0.1758881456711697</v>
      </c>
    </row>
    <row r="86" spans="1:2" x14ac:dyDescent="0.2">
      <c r="A86" s="108">
        <f t="shared" ca="1" si="3"/>
        <v>-0.22191553416865323</v>
      </c>
      <c r="B86" s="124">
        <f t="shared" ca="1" si="2"/>
        <v>5.561689316626936E-2</v>
      </c>
    </row>
    <row r="87" spans="1:2" x14ac:dyDescent="0.2">
      <c r="A87" s="108">
        <f t="shared" ca="1" si="3"/>
        <v>2.6752407640323081</v>
      </c>
      <c r="B87" s="124">
        <f t="shared" ca="1" si="2"/>
        <v>0.63504815280646165</v>
      </c>
    </row>
    <row r="88" spans="1:2" x14ac:dyDescent="0.2">
      <c r="A88" s="108">
        <f t="shared" ca="1" si="3"/>
        <v>9.4480890982262897E-3</v>
      </c>
      <c r="B88" s="124">
        <f t="shared" ca="1" si="2"/>
        <v>0.10188961781964527</v>
      </c>
    </row>
    <row r="89" spans="1:2" x14ac:dyDescent="0.2">
      <c r="A89" s="108">
        <f t="shared" ca="1" si="3"/>
        <v>-7.9071710508059459E-2</v>
      </c>
      <c r="B89" s="124">
        <f t="shared" ca="1" si="2"/>
        <v>8.4185657898388111E-2</v>
      </c>
    </row>
    <row r="90" spans="1:2" x14ac:dyDescent="0.2">
      <c r="A90" s="108">
        <f t="shared" ca="1" si="3"/>
        <v>0.21989678296342563</v>
      </c>
      <c r="B90" s="124">
        <f t="shared" ca="1" si="2"/>
        <v>0.14397935659268513</v>
      </c>
    </row>
    <row r="91" spans="1:2" x14ac:dyDescent="0.2">
      <c r="A91" s="108">
        <f t="shared" ca="1" si="3"/>
        <v>0.73304242393504604</v>
      </c>
      <c r="B91" s="124">
        <f t="shared" ca="1" si="2"/>
        <v>0.24660848478700922</v>
      </c>
    </row>
    <row r="92" spans="1:2" x14ac:dyDescent="0.2">
      <c r="A92" s="108">
        <f t="shared" ca="1" si="3"/>
        <v>-1.0846846123078249</v>
      </c>
      <c r="B92" s="124">
        <f t="shared" ca="1" si="2"/>
        <v>-0.11693692246156498</v>
      </c>
    </row>
    <row r="93" spans="1:2" x14ac:dyDescent="0.2">
      <c r="A93" s="108">
        <f t="shared" ca="1" si="3"/>
        <v>1.0594426523724219</v>
      </c>
      <c r="B93" s="124">
        <f t="shared" ca="1" si="2"/>
        <v>0.31188853047448439</v>
      </c>
    </row>
    <row r="94" spans="1:2" x14ac:dyDescent="0.2">
      <c r="A94" s="108">
        <f t="shared" ca="1" si="3"/>
        <v>0.89757366236978176</v>
      </c>
      <c r="B94" s="124">
        <f t="shared" ca="1" si="2"/>
        <v>0.27951473247395636</v>
      </c>
    </row>
    <row r="95" spans="1:2" x14ac:dyDescent="0.2">
      <c r="A95" s="108">
        <f t="shared" ca="1" si="3"/>
        <v>0.77880417890660858</v>
      </c>
      <c r="B95" s="124">
        <f t="shared" ca="1" si="2"/>
        <v>0.25576083578132169</v>
      </c>
    </row>
    <row r="96" spans="1:2" x14ac:dyDescent="0.2">
      <c r="A96" s="108">
        <f t="shared" ca="1" si="3"/>
        <v>-0.10902516054856005</v>
      </c>
      <c r="B96" s="124">
        <f t="shared" ca="1" si="2"/>
        <v>7.8194967890287986E-2</v>
      </c>
    </row>
    <row r="97" spans="1:2" x14ac:dyDescent="0.2">
      <c r="A97" s="108">
        <f t="shared" ca="1" si="3"/>
        <v>-0.96233399439299749</v>
      </c>
      <c r="B97" s="124">
        <f t="shared" ca="1" si="2"/>
        <v>-9.2466798878599515E-2</v>
      </c>
    </row>
    <row r="98" spans="1:2" x14ac:dyDescent="0.2">
      <c r="A98" s="108">
        <f t="shared" ca="1" si="3"/>
        <v>1.4421371630241655E-2</v>
      </c>
      <c r="B98" s="124">
        <f t="shared" ca="1" si="2"/>
        <v>0.10288427432604834</v>
      </c>
    </row>
    <row r="99" spans="1:2" x14ac:dyDescent="0.2">
      <c r="A99" s="108">
        <f t="shared" ca="1" si="3"/>
        <v>-0.4593509843287229</v>
      </c>
      <c r="B99" s="124">
        <f t="shared" ca="1" si="2"/>
        <v>8.1298031342554172E-3</v>
      </c>
    </row>
    <row r="100" spans="1:2" x14ac:dyDescent="0.2">
      <c r="A100" s="108">
        <f t="shared" ca="1" si="3"/>
        <v>0.75063044410648028</v>
      </c>
      <c r="B100" s="124">
        <f t="shared" ca="1" si="2"/>
        <v>0.25012608882129606</v>
      </c>
    </row>
    <row r="101" spans="1:2" x14ac:dyDescent="0.2">
      <c r="A101" s="108">
        <f t="shared" ca="1" si="3"/>
        <v>-1.4201344622108829</v>
      </c>
      <c r="B101" s="124">
        <f t="shared" ca="1" si="2"/>
        <v>-0.1840268924421766</v>
      </c>
    </row>
    <row r="102" spans="1:2" x14ac:dyDescent="0.2">
      <c r="A102" s="108">
        <f t="shared" ca="1" si="3"/>
        <v>1.2217192982542837</v>
      </c>
      <c r="B102" s="124">
        <f t="shared" ca="1" si="2"/>
        <v>0.34434385965085679</v>
      </c>
    </row>
    <row r="103" spans="1:2" x14ac:dyDescent="0.2">
      <c r="A103" s="108">
        <f t="shared" ca="1" si="3"/>
        <v>0.43411912296893196</v>
      </c>
      <c r="B103" s="124">
        <f t="shared" ca="1" si="2"/>
        <v>0.18682382459378641</v>
      </c>
    </row>
    <row r="104" spans="1:2" x14ac:dyDescent="0.2">
      <c r="A104" s="108">
        <f t="shared" ca="1" si="3"/>
        <v>1.0717054745699144</v>
      </c>
      <c r="B104" s="124">
        <f t="shared" ca="1" si="2"/>
        <v>0.31434109491398288</v>
      </c>
    </row>
    <row r="105" spans="1:2" x14ac:dyDescent="0.2">
      <c r="A105" s="108">
        <f t="shared" ca="1" si="3"/>
        <v>-0.38536528389442026</v>
      </c>
      <c r="B105" s="124">
        <f t="shared" ca="1" si="2"/>
        <v>2.292694322111595E-2</v>
      </c>
    </row>
    <row r="106" spans="1:2" x14ac:dyDescent="0.2">
      <c r="A106" s="108">
        <f t="shared" ca="1" si="3"/>
        <v>1.7271314702677363</v>
      </c>
      <c r="B106" s="124">
        <f t="shared" ca="1" si="2"/>
        <v>0.44542629405354728</v>
      </c>
    </row>
    <row r="107" spans="1:2" x14ac:dyDescent="0.2">
      <c r="A107" s="108">
        <f t="shared" ca="1" si="3"/>
        <v>0.15799060064072956</v>
      </c>
      <c r="B107" s="124">
        <f t="shared" ca="1" si="2"/>
        <v>0.13159812012814592</v>
      </c>
    </row>
    <row r="108" spans="1:2" x14ac:dyDescent="0.2">
      <c r="A108" s="108">
        <f t="shared" ca="1" si="3"/>
        <v>0.1111111703756769</v>
      </c>
      <c r="B108" s="124">
        <f t="shared" ca="1" si="2"/>
        <v>0.12222223407513538</v>
      </c>
    </row>
    <row r="109" spans="1:2" x14ac:dyDescent="0.2">
      <c r="A109" s="108">
        <f t="shared" ca="1" si="3"/>
        <v>-2.8010741507751919E-2</v>
      </c>
      <c r="B109" s="124">
        <f t="shared" ca="1" si="2"/>
        <v>9.4397851698449622E-2</v>
      </c>
    </row>
    <row r="110" spans="1:2" x14ac:dyDescent="0.2">
      <c r="A110" s="108">
        <f t="shared" ca="1" si="3"/>
        <v>0.26350675071162222</v>
      </c>
      <c r="B110" s="124">
        <f t="shared" ca="1" si="2"/>
        <v>0.15270135014232444</v>
      </c>
    </row>
    <row r="111" spans="1:2" x14ac:dyDescent="0.2">
      <c r="A111" s="108">
        <f t="shared" ca="1" si="3"/>
        <v>0.41824840888170522</v>
      </c>
      <c r="B111" s="124">
        <f t="shared" ca="1" si="2"/>
        <v>0.18364968177634106</v>
      </c>
    </row>
    <row r="112" spans="1:2" x14ac:dyDescent="0.2">
      <c r="A112" s="108">
        <f t="shared" ca="1" si="3"/>
        <v>-2.8279412297899285</v>
      </c>
      <c r="B112" s="124">
        <f t="shared" ca="1" si="2"/>
        <v>-0.46558824595798576</v>
      </c>
    </row>
    <row r="113" spans="1:2" x14ac:dyDescent="0.2">
      <c r="A113" s="108">
        <f t="shared" ca="1" si="3"/>
        <v>-0.19557688572820678</v>
      </c>
      <c r="B113" s="124">
        <f t="shared" ca="1" si="2"/>
        <v>6.0884622854358646E-2</v>
      </c>
    </row>
    <row r="114" spans="1:2" x14ac:dyDescent="0.2">
      <c r="A114" s="108">
        <f t="shared" ca="1" si="3"/>
        <v>-0.8333343793423259</v>
      </c>
      <c r="B114" s="124">
        <f t="shared" ca="1" si="2"/>
        <v>-6.6666875868465175E-2</v>
      </c>
    </row>
    <row r="115" spans="1:2" x14ac:dyDescent="0.2">
      <c r="A115" s="108">
        <f t="shared" ca="1" si="3"/>
        <v>8.7701775466724516E-2</v>
      </c>
      <c r="B115" s="124">
        <f t="shared" ca="1" si="2"/>
        <v>0.11754035509334491</v>
      </c>
    </row>
    <row r="116" spans="1:2" x14ac:dyDescent="0.2">
      <c r="A116" s="108">
        <f t="shared" ca="1" si="3"/>
        <v>1.0728750361460053</v>
      </c>
      <c r="B116" s="124">
        <f t="shared" ca="1" si="2"/>
        <v>0.31457500722920106</v>
      </c>
    </row>
    <row r="117" spans="1:2" x14ac:dyDescent="0.2">
      <c r="A117" s="108">
        <f t="shared" ca="1" si="3"/>
        <v>-1.5619964389971246</v>
      </c>
      <c r="B117" s="124">
        <f t="shared" ca="1" si="2"/>
        <v>-0.21239928779942494</v>
      </c>
    </row>
    <row r="118" spans="1:2" x14ac:dyDescent="0.2">
      <c r="A118" s="108">
        <f t="shared" ca="1" si="3"/>
        <v>-0.30672730458353464</v>
      </c>
      <c r="B118" s="124">
        <f t="shared" ca="1" si="2"/>
        <v>3.8654539083293075E-2</v>
      </c>
    </row>
    <row r="119" spans="1:2" x14ac:dyDescent="0.2">
      <c r="A119" s="108">
        <f t="shared" ca="1" si="3"/>
        <v>-0.85833824921383939</v>
      </c>
      <c r="B119" s="124">
        <f t="shared" ca="1" si="2"/>
        <v>-7.1667649842767883E-2</v>
      </c>
    </row>
    <row r="120" spans="1:2" x14ac:dyDescent="0.2">
      <c r="A120" s="108">
        <f t="shared" ca="1" si="3"/>
        <v>0.57874722096539288</v>
      </c>
      <c r="B120" s="124">
        <f t="shared" ca="1" si="2"/>
        <v>0.21574944419307859</v>
      </c>
    </row>
    <row r="121" spans="1:2" x14ac:dyDescent="0.2">
      <c r="A121" s="108">
        <f t="shared" ca="1" si="3"/>
        <v>0.3325865139151451</v>
      </c>
      <c r="B121" s="124">
        <f t="shared" ca="1" si="2"/>
        <v>0.16651730278302901</v>
      </c>
    </row>
    <row r="122" spans="1:2" x14ac:dyDescent="0.2">
      <c r="A122" s="108">
        <f t="shared" ca="1" si="3"/>
        <v>0.28356380732173508</v>
      </c>
      <c r="B122" s="124">
        <f t="shared" ca="1" si="2"/>
        <v>0.15671276146434704</v>
      </c>
    </row>
    <row r="123" spans="1:2" x14ac:dyDescent="0.2">
      <c r="A123" s="108">
        <f t="shared" ca="1" si="3"/>
        <v>-0.62863559826713888</v>
      </c>
      <c r="B123" s="124">
        <f t="shared" ca="1" si="2"/>
        <v>-2.5727119653427777E-2</v>
      </c>
    </row>
    <row r="124" spans="1:2" x14ac:dyDescent="0.2">
      <c r="A124" s="108">
        <f t="shared" ca="1" si="3"/>
        <v>0.42609828663830496</v>
      </c>
      <c r="B124" s="124">
        <f t="shared" ca="1" si="2"/>
        <v>0.18521965732766099</v>
      </c>
    </row>
    <row r="125" spans="1:2" x14ac:dyDescent="0.2">
      <c r="A125" s="108">
        <f t="shared" ca="1" si="3"/>
        <v>0.18107289356345455</v>
      </c>
      <c r="B125" s="124">
        <f t="shared" ca="1" si="2"/>
        <v>0.13621457871269091</v>
      </c>
    </row>
    <row r="126" spans="1:2" x14ac:dyDescent="0.2">
      <c r="A126" s="108">
        <f t="shared" ca="1" si="3"/>
        <v>2.1121059321870592</v>
      </c>
      <c r="B126" s="124">
        <f t="shared" ca="1" si="2"/>
        <v>0.52242118643741187</v>
      </c>
    </row>
    <row r="127" spans="1:2" x14ac:dyDescent="0.2">
      <c r="A127" s="108">
        <f t="shared" ca="1" si="3"/>
        <v>-0.26352375126970523</v>
      </c>
      <c r="B127" s="124">
        <f t="shared" ca="1" si="2"/>
        <v>4.7295249746058955E-2</v>
      </c>
    </row>
    <row r="128" spans="1:2" x14ac:dyDescent="0.2">
      <c r="A128" s="108">
        <f t="shared" ca="1" si="3"/>
        <v>-0.84348091362465194</v>
      </c>
      <c r="B128" s="124">
        <f t="shared" ca="1" si="2"/>
        <v>-6.8696182724930388E-2</v>
      </c>
    </row>
    <row r="129" spans="1:2" x14ac:dyDescent="0.2">
      <c r="A129" s="108">
        <f t="shared" ca="1" si="3"/>
        <v>0.33974766719169558</v>
      </c>
      <c r="B129" s="124">
        <f t="shared" ca="1" si="2"/>
        <v>0.16794953343833913</v>
      </c>
    </row>
    <row r="130" spans="1:2" x14ac:dyDescent="0.2">
      <c r="A130" s="108">
        <f t="shared" ca="1" si="3"/>
        <v>0.47749840334211974</v>
      </c>
      <c r="B130" s="124">
        <f t="shared" ca="1" si="2"/>
        <v>0.19549968066842396</v>
      </c>
    </row>
    <row r="131" spans="1:2" x14ac:dyDescent="0.2">
      <c r="A131" s="108">
        <f t="shared" ca="1" si="3"/>
        <v>1.2529558923504416</v>
      </c>
      <c r="B131" s="124">
        <f t="shared" ca="1" si="2"/>
        <v>0.35059117847008836</v>
      </c>
    </row>
    <row r="132" spans="1:2" x14ac:dyDescent="0.2">
      <c r="A132" s="108">
        <f t="shared" ca="1" si="3"/>
        <v>-0.3947482816098809</v>
      </c>
      <c r="B132" s="124">
        <f t="shared" ca="1" si="2"/>
        <v>2.1050343678023817E-2</v>
      </c>
    </row>
    <row r="133" spans="1:2" x14ac:dyDescent="0.2">
      <c r="A133" s="108">
        <f t="shared" ca="1" si="3"/>
        <v>0.77637009171495763</v>
      </c>
      <c r="B133" s="124">
        <f t="shared" ca="1" si="2"/>
        <v>0.25527401834299157</v>
      </c>
    </row>
    <row r="134" spans="1:2" x14ac:dyDescent="0.2">
      <c r="A134" s="108">
        <f t="shared" ca="1" si="3"/>
        <v>0.68137672632160506</v>
      </c>
      <c r="B134" s="124">
        <f t="shared" ca="1" si="2"/>
        <v>0.23627534526432104</v>
      </c>
    </row>
    <row r="135" spans="1:2" x14ac:dyDescent="0.2">
      <c r="A135" s="108">
        <f t="shared" ca="1" si="3"/>
        <v>1.7038385781408549</v>
      </c>
      <c r="B135" s="124">
        <f t="shared" ca="1" si="2"/>
        <v>0.44076771562817096</v>
      </c>
    </row>
    <row r="136" spans="1:2" x14ac:dyDescent="0.2">
      <c r="A136" s="108">
        <f t="shared" ca="1" si="3"/>
        <v>-0.32301774761109164</v>
      </c>
      <c r="B136" s="124">
        <f t="shared" ca="1" si="2"/>
        <v>3.5396450477781671E-2</v>
      </c>
    </row>
    <row r="137" spans="1:2" x14ac:dyDescent="0.2">
      <c r="A137" s="108">
        <f t="shared" ca="1" si="3"/>
        <v>-1.7714736881201096</v>
      </c>
      <c r="B137" s="124">
        <f t="shared" ca="1" si="2"/>
        <v>-0.25429473762402199</v>
      </c>
    </row>
    <row r="138" spans="1:2" x14ac:dyDescent="0.2">
      <c r="A138" s="108">
        <f t="shared" ca="1" si="3"/>
        <v>9.2053887673128318E-2</v>
      </c>
      <c r="B138" s="124">
        <f t="shared" ref="B138:B201" ca="1" si="4">$C$1+A138*$C$2</f>
        <v>0.11841077753462567</v>
      </c>
    </row>
    <row r="139" spans="1:2" x14ac:dyDescent="0.2">
      <c r="A139" s="108">
        <f t="shared" ref="A139:A202" ca="1" si="5">NORMSINV(RAND())</f>
        <v>-2.3323810361557333</v>
      </c>
      <c r="B139" s="124">
        <f t="shared" ca="1" si="4"/>
        <v>-0.36647620723114671</v>
      </c>
    </row>
    <row r="140" spans="1:2" x14ac:dyDescent="0.2">
      <c r="A140" s="108">
        <f t="shared" ca="1" si="5"/>
        <v>0.14942754903271152</v>
      </c>
      <c r="B140" s="124">
        <f t="shared" ca="1" si="4"/>
        <v>0.12988550980654232</v>
      </c>
    </row>
    <row r="141" spans="1:2" x14ac:dyDescent="0.2">
      <c r="A141" s="108">
        <f t="shared" ca="1" si="5"/>
        <v>0.23332217468215549</v>
      </c>
      <c r="B141" s="124">
        <f t="shared" ca="1" si="4"/>
        <v>0.14666443493643111</v>
      </c>
    </row>
    <row r="142" spans="1:2" x14ac:dyDescent="0.2">
      <c r="A142" s="108">
        <f t="shared" ca="1" si="5"/>
        <v>-1.8251924998703291</v>
      </c>
      <c r="B142" s="124">
        <f t="shared" ca="1" si="4"/>
        <v>-0.26503849997406581</v>
      </c>
    </row>
    <row r="143" spans="1:2" x14ac:dyDescent="0.2">
      <c r="A143" s="108">
        <f t="shared" ca="1" si="5"/>
        <v>-0.62766113665291257</v>
      </c>
      <c r="B143" s="124">
        <f t="shared" ca="1" si="4"/>
        <v>-2.5532227330582524E-2</v>
      </c>
    </row>
    <row r="144" spans="1:2" x14ac:dyDescent="0.2">
      <c r="A144" s="108">
        <f t="shared" ca="1" si="5"/>
        <v>-0.26104632963898</v>
      </c>
      <c r="B144" s="124">
        <f t="shared" ca="1" si="4"/>
        <v>4.7790734072204001E-2</v>
      </c>
    </row>
    <row r="145" spans="1:2" x14ac:dyDescent="0.2">
      <c r="A145" s="108">
        <f t="shared" ca="1" si="5"/>
        <v>-0.54721122340550921</v>
      </c>
      <c r="B145" s="124">
        <f t="shared" ca="1" si="4"/>
        <v>-9.442244681101844E-3</v>
      </c>
    </row>
    <row r="146" spans="1:2" x14ac:dyDescent="0.2">
      <c r="A146" s="108">
        <f t="shared" ca="1" si="5"/>
        <v>-1.8860839079300467</v>
      </c>
      <c r="B146" s="124">
        <f t="shared" ca="1" si="4"/>
        <v>-0.27721678158600938</v>
      </c>
    </row>
    <row r="147" spans="1:2" x14ac:dyDescent="0.2">
      <c r="A147" s="108">
        <f t="shared" ca="1" si="5"/>
        <v>1.1868624195505026</v>
      </c>
      <c r="B147" s="124">
        <f t="shared" ca="1" si="4"/>
        <v>0.33737248391010055</v>
      </c>
    </row>
    <row r="148" spans="1:2" x14ac:dyDescent="0.2">
      <c r="A148" s="108">
        <f t="shared" ca="1" si="5"/>
        <v>2.5255732295839266</v>
      </c>
      <c r="B148" s="124">
        <f t="shared" ca="1" si="4"/>
        <v>0.60511464591678532</v>
      </c>
    </row>
    <row r="149" spans="1:2" x14ac:dyDescent="0.2">
      <c r="A149" s="108">
        <f t="shared" ca="1" si="5"/>
        <v>-0.29572833851510427</v>
      </c>
      <c r="B149" s="124">
        <f t="shared" ca="1" si="4"/>
        <v>4.085433229697915E-2</v>
      </c>
    </row>
    <row r="150" spans="1:2" x14ac:dyDescent="0.2">
      <c r="A150" s="108">
        <f t="shared" ca="1" si="5"/>
        <v>0.27875754532828867</v>
      </c>
      <c r="B150" s="124">
        <f t="shared" ca="1" si="4"/>
        <v>0.15575150906565774</v>
      </c>
    </row>
    <row r="151" spans="1:2" x14ac:dyDescent="0.2">
      <c r="A151" s="108">
        <f t="shared" ca="1" si="5"/>
        <v>0.70838851547789339</v>
      </c>
      <c r="B151" s="124">
        <f t="shared" ca="1" si="4"/>
        <v>0.24167770309557868</v>
      </c>
    </row>
    <row r="152" spans="1:2" x14ac:dyDescent="0.2">
      <c r="A152" s="108">
        <f t="shared" ca="1" si="5"/>
        <v>-0.11014974669959231</v>
      </c>
      <c r="B152" s="124">
        <f t="shared" ca="1" si="4"/>
        <v>7.7970050660081544E-2</v>
      </c>
    </row>
    <row r="153" spans="1:2" x14ac:dyDescent="0.2">
      <c r="A153" s="108">
        <f t="shared" ca="1" si="5"/>
        <v>0.93881127711847179</v>
      </c>
      <c r="B153" s="124">
        <f t="shared" ca="1" si="4"/>
        <v>0.28776225542369438</v>
      </c>
    </row>
    <row r="154" spans="1:2" x14ac:dyDescent="0.2">
      <c r="A154" s="108">
        <f t="shared" ca="1" si="5"/>
        <v>-0.88934352842618714</v>
      </c>
      <c r="B154" s="124">
        <f t="shared" ca="1" si="4"/>
        <v>-7.7868705685237433E-2</v>
      </c>
    </row>
    <row r="155" spans="1:2" x14ac:dyDescent="0.2">
      <c r="A155" s="108">
        <f t="shared" ca="1" si="5"/>
        <v>-1.5381419706371602</v>
      </c>
      <c r="B155" s="124">
        <f t="shared" ca="1" si="4"/>
        <v>-0.20762839412743203</v>
      </c>
    </row>
    <row r="156" spans="1:2" x14ac:dyDescent="0.2">
      <c r="A156" s="108">
        <f t="shared" ca="1" si="5"/>
        <v>0.52127663915568645</v>
      </c>
      <c r="B156" s="124">
        <f t="shared" ca="1" si="4"/>
        <v>0.20425532783113731</v>
      </c>
    </row>
    <row r="157" spans="1:2" x14ac:dyDescent="0.2">
      <c r="A157" s="108">
        <f t="shared" ca="1" si="5"/>
        <v>0.12555223498529819</v>
      </c>
      <c r="B157" s="124">
        <f t="shared" ca="1" si="4"/>
        <v>0.12511044699705964</v>
      </c>
    </row>
    <row r="158" spans="1:2" x14ac:dyDescent="0.2">
      <c r="A158" s="108">
        <f t="shared" ca="1" si="5"/>
        <v>2.6252151893817626</v>
      </c>
      <c r="B158" s="124">
        <f t="shared" ca="1" si="4"/>
        <v>0.62504303787635251</v>
      </c>
    </row>
    <row r="159" spans="1:2" x14ac:dyDescent="0.2">
      <c r="A159" s="108">
        <f t="shared" ca="1" si="5"/>
        <v>1.5938704786018563</v>
      </c>
      <c r="B159" s="124">
        <f t="shared" ca="1" si="4"/>
        <v>0.41877409572037128</v>
      </c>
    </row>
    <row r="160" spans="1:2" x14ac:dyDescent="0.2">
      <c r="A160" s="108">
        <f t="shared" ca="1" si="5"/>
        <v>-0.28942776535917558</v>
      </c>
      <c r="B160" s="124">
        <f t="shared" ca="1" si="4"/>
        <v>4.2114446928164885E-2</v>
      </c>
    </row>
    <row r="161" spans="1:2" x14ac:dyDescent="0.2">
      <c r="A161" s="108">
        <f t="shared" ca="1" si="5"/>
        <v>-1.5573191647892997</v>
      </c>
      <c r="B161" s="124">
        <f t="shared" ca="1" si="4"/>
        <v>-0.21146383295785995</v>
      </c>
    </row>
    <row r="162" spans="1:2" x14ac:dyDescent="0.2">
      <c r="A162" s="108">
        <f t="shared" ca="1" si="5"/>
        <v>3.1705245838010523</v>
      </c>
      <c r="B162" s="124">
        <f t="shared" ca="1" si="4"/>
        <v>0.7341049167602105</v>
      </c>
    </row>
    <row r="163" spans="1:2" x14ac:dyDescent="0.2">
      <c r="A163" s="108">
        <f t="shared" ca="1" si="5"/>
        <v>-0.22889288652690554</v>
      </c>
      <c r="B163" s="124">
        <f t="shared" ca="1" si="4"/>
        <v>5.4221422694618895E-2</v>
      </c>
    </row>
    <row r="164" spans="1:2" x14ac:dyDescent="0.2">
      <c r="A164" s="108">
        <f t="shared" ca="1" si="5"/>
        <v>-0.68710260918988642</v>
      </c>
      <c r="B164" s="124">
        <f t="shared" ca="1" si="4"/>
        <v>-3.7420521837977283E-2</v>
      </c>
    </row>
    <row r="165" spans="1:2" x14ac:dyDescent="0.2">
      <c r="A165" s="108">
        <f t="shared" ca="1" si="5"/>
        <v>-0.29828525019502894</v>
      </c>
      <c r="B165" s="124">
        <f t="shared" ca="1" si="4"/>
        <v>4.0342949960994218E-2</v>
      </c>
    </row>
    <row r="166" spans="1:2" x14ac:dyDescent="0.2">
      <c r="A166" s="108">
        <f t="shared" ca="1" si="5"/>
        <v>-4.0442685927017219E-2</v>
      </c>
      <c r="B166" s="124">
        <f t="shared" ca="1" si="4"/>
        <v>9.1911462814596556E-2</v>
      </c>
    </row>
    <row r="167" spans="1:2" x14ac:dyDescent="0.2">
      <c r="A167" s="108">
        <f t="shared" ca="1" si="5"/>
        <v>7.8284843446561961E-3</v>
      </c>
      <c r="B167" s="124">
        <f t="shared" ca="1" si="4"/>
        <v>0.10156569686893124</v>
      </c>
    </row>
    <row r="168" spans="1:2" x14ac:dyDescent="0.2">
      <c r="A168" s="108">
        <f t="shared" ca="1" si="5"/>
        <v>-0.65979928236105301</v>
      </c>
      <c r="B168" s="124">
        <f t="shared" ca="1" si="4"/>
        <v>-3.1959856472210613E-2</v>
      </c>
    </row>
    <row r="169" spans="1:2" x14ac:dyDescent="0.2">
      <c r="A169" s="108">
        <f t="shared" ca="1" si="5"/>
        <v>2.3885674716974385</v>
      </c>
      <c r="B169" s="124">
        <f t="shared" ca="1" si="4"/>
        <v>0.57771349433948771</v>
      </c>
    </row>
    <row r="170" spans="1:2" x14ac:dyDescent="0.2">
      <c r="A170" s="108">
        <f t="shared" ca="1" si="5"/>
        <v>1.1651909393283841</v>
      </c>
      <c r="B170" s="124">
        <f t="shared" ca="1" si="4"/>
        <v>0.33303818786567685</v>
      </c>
    </row>
    <row r="171" spans="1:2" x14ac:dyDescent="0.2">
      <c r="A171" s="108">
        <f t="shared" ca="1" si="5"/>
        <v>1.2178301103004883</v>
      </c>
      <c r="B171" s="124">
        <f t="shared" ca="1" si="4"/>
        <v>0.34356602206009768</v>
      </c>
    </row>
    <row r="172" spans="1:2" x14ac:dyDescent="0.2">
      <c r="A172" s="108">
        <f t="shared" ca="1" si="5"/>
        <v>2.5459529180429401</v>
      </c>
      <c r="B172" s="124">
        <f t="shared" ca="1" si="4"/>
        <v>0.60919058360858802</v>
      </c>
    </row>
    <row r="173" spans="1:2" x14ac:dyDescent="0.2">
      <c r="A173" s="108">
        <f t="shared" ca="1" si="5"/>
        <v>-0.73130862310311628</v>
      </c>
      <c r="B173" s="124">
        <f t="shared" ca="1" si="4"/>
        <v>-4.6261724620623251E-2</v>
      </c>
    </row>
    <row r="174" spans="1:2" x14ac:dyDescent="0.2">
      <c r="A174" s="108">
        <f t="shared" ca="1" si="5"/>
        <v>-1.5748893477227308</v>
      </c>
      <c r="B174" s="124">
        <f t="shared" ca="1" si="4"/>
        <v>-0.2149778695445462</v>
      </c>
    </row>
    <row r="175" spans="1:2" x14ac:dyDescent="0.2">
      <c r="A175" s="108">
        <f t="shared" ca="1" si="5"/>
        <v>-0.17465457943584803</v>
      </c>
      <c r="B175" s="124">
        <f t="shared" ca="1" si="4"/>
        <v>6.5069084112830397E-2</v>
      </c>
    </row>
    <row r="176" spans="1:2" x14ac:dyDescent="0.2">
      <c r="A176" s="108">
        <f t="shared" ca="1" si="5"/>
        <v>1.7656857408917357</v>
      </c>
      <c r="B176" s="124">
        <f t="shared" ca="1" si="4"/>
        <v>0.45313714817834716</v>
      </c>
    </row>
    <row r="177" spans="1:2" x14ac:dyDescent="0.2">
      <c r="A177" s="108">
        <f t="shared" ca="1" si="5"/>
        <v>-0.30448404048889721</v>
      </c>
      <c r="B177" s="124">
        <f t="shared" ca="1" si="4"/>
        <v>3.9103191902220558E-2</v>
      </c>
    </row>
    <row r="178" spans="1:2" x14ac:dyDescent="0.2">
      <c r="A178" s="108">
        <f t="shared" ca="1" si="5"/>
        <v>0.12314919150299805</v>
      </c>
      <c r="B178" s="124">
        <f t="shared" ca="1" si="4"/>
        <v>0.12462983830059962</v>
      </c>
    </row>
    <row r="179" spans="1:2" x14ac:dyDescent="0.2">
      <c r="A179" s="108">
        <f t="shared" ca="1" si="5"/>
        <v>0.98090503178673438</v>
      </c>
      <c r="B179" s="124">
        <f t="shared" ca="1" si="4"/>
        <v>0.2961810063573469</v>
      </c>
    </row>
    <row r="180" spans="1:2" x14ac:dyDescent="0.2">
      <c r="A180" s="108">
        <f t="shared" ca="1" si="5"/>
        <v>-0.12518503650475396</v>
      </c>
      <c r="B180" s="124">
        <f t="shared" ca="1" si="4"/>
        <v>7.4962992699049213E-2</v>
      </c>
    </row>
    <row r="181" spans="1:2" x14ac:dyDescent="0.2">
      <c r="A181" s="108">
        <f t="shared" ca="1" si="5"/>
        <v>7.1026712761745311E-2</v>
      </c>
      <c r="B181" s="124">
        <f t="shared" ca="1" si="4"/>
        <v>0.11420534255234907</v>
      </c>
    </row>
    <row r="182" spans="1:2" x14ac:dyDescent="0.2">
      <c r="A182" s="108">
        <f t="shared" ca="1" si="5"/>
        <v>-9.9667440751102801E-2</v>
      </c>
      <c r="B182" s="124">
        <f t="shared" ca="1" si="4"/>
        <v>8.0066511849779448E-2</v>
      </c>
    </row>
    <row r="183" spans="1:2" x14ac:dyDescent="0.2">
      <c r="A183" s="108">
        <f t="shared" ca="1" si="5"/>
        <v>1.0770711660232184</v>
      </c>
      <c r="B183" s="124">
        <f t="shared" ca="1" si="4"/>
        <v>0.31541423320464368</v>
      </c>
    </row>
    <row r="184" spans="1:2" x14ac:dyDescent="0.2">
      <c r="A184" s="108">
        <f t="shared" ca="1" si="5"/>
        <v>-6.6425956666867361E-2</v>
      </c>
      <c r="B184" s="124">
        <f t="shared" ca="1" si="4"/>
        <v>8.6714808666626536E-2</v>
      </c>
    </row>
    <row r="185" spans="1:2" x14ac:dyDescent="0.2">
      <c r="A185" s="108">
        <f t="shared" ca="1" si="5"/>
        <v>0.10615853941469458</v>
      </c>
      <c r="B185" s="124">
        <f t="shared" ca="1" si="4"/>
        <v>0.12123170788293892</v>
      </c>
    </row>
    <row r="186" spans="1:2" x14ac:dyDescent="0.2">
      <c r="A186" s="108">
        <f t="shared" ca="1" si="5"/>
        <v>-0.45197023330099623</v>
      </c>
      <c r="B186" s="124">
        <f t="shared" ca="1" si="4"/>
        <v>9.6059533398007574E-3</v>
      </c>
    </row>
    <row r="187" spans="1:2" x14ac:dyDescent="0.2">
      <c r="A187" s="108">
        <f t="shared" ca="1" si="5"/>
        <v>2.2186596320329226</v>
      </c>
      <c r="B187" s="124">
        <f t="shared" ca="1" si="4"/>
        <v>0.54373192640658452</v>
      </c>
    </row>
    <row r="188" spans="1:2" x14ac:dyDescent="0.2">
      <c r="A188" s="108">
        <f t="shared" ca="1" si="5"/>
        <v>-1.1383614018031709</v>
      </c>
      <c r="B188" s="124">
        <f t="shared" ca="1" si="4"/>
        <v>-0.12767228036063419</v>
      </c>
    </row>
    <row r="189" spans="1:2" x14ac:dyDescent="0.2">
      <c r="A189" s="108">
        <f t="shared" ca="1" si="5"/>
        <v>-1.7932741284119613</v>
      </c>
      <c r="B189" s="124">
        <f t="shared" ca="1" si="4"/>
        <v>-0.25865482568239229</v>
      </c>
    </row>
    <row r="190" spans="1:2" x14ac:dyDescent="0.2">
      <c r="A190" s="108">
        <f t="shared" ca="1" si="5"/>
        <v>-0.10937411059204113</v>
      </c>
      <c r="B190" s="124">
        <f t="shared" ca="1" si="4"/>
        <v>7.8125177881591776E-2</v>
      </c>
    </row>
    <row r="191" spans="1:2" x14ac:dyDescent="0.2">
      <c r="A191" s="108">
        <f t="shared" ca="1" si="5"/>
        <v>-7.3062157182000917E-2</v>
      </c>
      <c r="B191" s="124">
        <f t="shared" ca="1" si="4"/>
        <v>8.5387568563599817E-2</v>
      </c>
    </row>
    <row r="192" spans="1:2" x14ac:dyDescent="0.2">
      <c r="A192" s="108">
        <f t="shared" ca="1" si="5"/>
        <v>-2.043951152646549</v>
      </c>
      <c r="B192" s="124">
        <f t="shared" ca="1" si="4"/>
        <v>-0.30879023052930987</v>
      </c>
    </row>
    <row r="193" spans="1:2" x14ac:dyDescent="0.2">
      <c r="A193" s="108">
        <f t="shared" ca="1" si="5"/>
        <v>-1.9800546728531776</v>
      </c>
      <c r="B193" s="124">
        <f t="shared" ca="1" si="4"/>
        <v>-0.29601093457063554</v>
      </c>
    </row>
    <row r="194" spans="1:2" x14ac:dyDescent="0.2">
      <c r="A194" s="108">
        <f t="shared" ca="1" si="5"/>
        <v>0.17520338205512359</v>
      </c>
      <c r="B194" s="124">
        <f t="shared" ca="1" si="4"/>
        <v>0.13504067641102474</v>
      </c>
    </row>
    <row r="195" spans="1:2" x14ac:dyDescent="0.2">
      <c r="A195" s="108">
        <f t="shared" ca="1" si="5"/>
        <v>-0.68105762619232812</v>
      </c>
      <c r="B195" s="124">
        <f t="shared" ca="1" si="4"/>
        <v>-3.6211525238465631E-2</v>
      </c>
    </row>
    <row r="196" spans="1:2" x14ac:dyDescent="0.2">
      <c r="A196" s="108">
        <f t="shared" ca="1" si="5"/>
        <v>5.2836335522334507E-2</v>
      </c>
      <c r="B196" s="124">
        <f t="shared" ca="1" si="4"/>
        <v>0.1105672671044669</v>
      </c>
    </row>
    <row r="197" spans="1:2" x14ac:dyDescent="0.2">
      <c r="A197" s="108">
        <f t="shared" ca="1" si="5"/>
        <v>0.92868440275923425</v>
      </c>
      <c r="B197" s="124">
        <f t="shared" ca="1" si="4"/>
        <v>0.28573688055184687</v>
      </c>
    </row>
    <row r="198" spans="1:2" x14ac:dyDescent="0.2">
      <c r="A198" s="108">
        <f t="shared" ca="1" si="5"/>
        <v>-0.17922861947034743</v>
      </c>
      <c r="B198" s="124">
        <f t="shared" ca="1" si="4"/>
        <v>6.4154276105930524E-2</v>
      </c>
    </row>
    <row r="199" spans="1:2" x14ac:dyDescent="0.2">
      <c r="A199" s="108">
        <f t="shared" ca="1" si="5"/>
        <v>-0.30380305477981734</v>
      </c>
      <c r="B199" s="124">
        <f t="shared" ca="1" si="4"/>
        <v>3.9239389044036538E-2</v>
      </c>
    </row>
    <row r="200" spans="1:2" x14ac:dyDescent="0.2">
      <c r="A200" s="108">
        <f t="shared" ca="1" si="5"/>
        <v>-1.5430149893934679</v>
      </c>
      <c r="B200" s="124">
        <f t="shared" ca="1" si="4"/>
        <v>-0.2086029978786936</v>
      </c>
    </row>
    <row r="201" spans="1:2" x14ac:dyDescent="0.2">
      <c r="A201" s="108">
        <f t="shared" ca="1" si="5"/>
        <v>-0.76150315853768569</v>
      </c>
      <c r="B201" s="124">
        <f t="shared" ca="1" si="4"/>
        <v>-5.2300631707537154E-2</v>
      </c>
    </row>
    <row r="202" spans="1:2" x14ac:dyDescent="0.2">
      <c r="A202" s="108">
        <f t="shared" ca="1" si="5"/>
        <v>0.5072876941162876</v>
      </c>
      <c r="B202" s="124">
        <f t="shared" ref="B202:B265" ca="1" si="6">$C$1+A202*$C$2</f>
        <v>0.20145753882325754</v>
      </c>
    </row>
    <row r="203" spans="1:2" x14ac:dyDescent="0.2">
      <c r="A203" s="108">
        <f t="shared" ref="A203:A266" ca="1" si="7">NORMSINV(RAND())</f>
        <v>1.3435150544698919</v>
      </c>
      <c r="B203" s="124">
        <f t="shared" ca="1" si="6"/>
        <v>0.36870301089397839</v>
      </c>
    </row>
    <row r="204" spans="1:2" x14ac:dyDescent="0.2">
      <c r="A204" s="108">
        <f t="shared" ca="1" si="7"/>
        <v>-1.3787011960453004</v>
      </c>
      <c r="B204" s="124">
        <f t="shared" ca="1" si="6"/>
        <v>-0.1757402392090601</v>
      </c>
    </row>
    <row r="205" spans="1:2" x14ac:dyDescent="0.2">
      <c r="A205" s="108">
        <f t="shared" ca="1" si="7"/>
        <v>2.1771423273284602</v>
      </c>
      <c r="B205" s="124">
        <f t="shared" ca="1" si="6"/>
        <v>0.53542846546569212</v>
      </c>
    </row>
    <row r="206" spans="1:2" x14ac:dyDescent="0.2">
      <c r="A206" s="108">
        <f t="shared" ca="1" si="7"/>
        <v>-3.5035855371629773E-2</v>
      </c>
      <c r="B206" s="124">
        <f t="shared" ca="1" si="6"/>
        <v>9.2992828925674051E-2</v>
      </c>
    </row>
    <row r="207" spans="1:2" x14ac:dyDescent="0.2">
      <c r="A207" s="108">
        <f t="shared" ca="1" si="7"/>
        <v>0.75553419354833984</v>
      </c>
      <c r="B207" s="124">
        <f t="shared" ca="1" si="6"/>
        <v>0.25110683870966799</v>
      </c>
    </row>
    <row r="208" spans="1:2" x14ac:dyDescent="0.2">
      <c r="A208" s="108">
        <f t="shared" ca="1" si="7"/>
        <v>0.15007910873419947</v>
      </c>
      <c r="B208" s="124">
        <f t="shared" ca="1" si="6"/>
        <v>0.1300158217468399</v>
      </c>
    </row>
    <row r="209" spans="1:2" x14ac:dyDescent="0.2">
      <c r="A209" s="108">
        <f t="shared" ca="1" si="7"/>
        <v>-0.55807804381932502</v>
      </c>
      <c r="B209" s="124">
        <f t="shared" ca="1" si="6"/>
        <v>-1.1615608763864999E-2</v>
      </c>
    </row>
    <row r="210" spans="1:2" x14ac:dyDescent="0.2">
      <c r="A210" s="108">
        <f t="shared" ca="1" si="7"/>
        <v>-0.56216187305080711</v>
      </c>
      <c r="B210" s="124">
        <f t="shared" ca="1" si="6"/>
        <v>-1.2432374610161417E-2</v>
      </c>
    </row>
    <row r="211" spans="1:2" x14ac:dyDescent="0.2">
      <c r="A211" s="108">
        <f t="shared" ca="1" si="7"/>
        <v>-3.6392333236697367</v>
      </c>
      <c r="B211" s="124">
        <f t="shared" ca="1" si="6"/>
        <v>-0.62784666473394746</v>
      </c>
    </row>
    <row r="212" spans="1:2" x14ac:dyDescent="0.2">
      <c r="A212" s="108">
        <f t="shared" ca="1" si="7"/>
        <v>0.43568154829154571</v>
      </c>
      <c r="B212" s="124">
        <f t="shared" ca="1" si="6"/>
        <v>0.18713630965830916</v>
      </c>
    </row>
    <row r="213" spans="1:2" x14ac:dyDescent="0.2">
      <c r="A213" s="108">
        <f t="shared" ca="1" si="7"/>
        <v>-2.4959382441386633</v>
      </c>
      <c r="B213" s="124">
        <f t="shared" ca="1" si="6"/>
        <v>-0.39918764882773272</v>
      </c>
    </row>
    <row r="214" spans="1:2" x14ac:dyDescent="0.2">
      <c r="A214" s="108">
        <f t="shared" ca="1" si="7"/>
        <v>1.5939222767104912</v>
      </c>
      <c r="B214" s="124">
        <f t="shared" ca="1" si="6"/>
        <v>0.41878445534209829</v>
      </c>
    </row>
    <row r="215" spans="1:2" x14ac:dyDescent="0.2">
      <c r="A215" s="108">
        <f t="shared" ca="1" si="7"/>
        <v>0.86109615373139736</v>
      </c>
      <c r="B215" s="124">
        <f t="shared" ca="1" si="6"/>
        <v>0.27221923074627952</v>
      </c>
    </row>
    <row r="216" spans="1:2" x14ac:dyDescent="0.2">
      <c r="A216" s="108">
        <f t="shared" ca="1" si="7"/>
        <v>-1.1666639766951992</v>
      </c>
      <c r="B216" s="124">
        <f t="shared" ca="1" si="6"/>
        <v>-0.13333279533903983</v>
      </c>
    </row>
    <row r="217" spans="1:2" x14ac:dyDescent="0.2">
      <c r="A217" s="108">
        <f t="shared" ca="1" si="7"/>
        <v>-1.6396582231057117</v>
      </c>
      <c r="B217" s="124">
        <f t="shared" ca="1" si="6"/>
        <v>-0.22793164462114238</v>
      </c>
    </row>
    <row r="218" spans="1:2" x14ac:dyDescent="0.2">
      <c r="A218" s="108">
        <f t="shared" ca="1" si="7"/>
        <v>1.8046332767764819</v>
      </c>
      <c r="B218" s="124">
        <f t="shared" ca="1" si="6"/>
        <v>0.46092665535529642</v>
      </c>
    </row>
    <row r="219" spans="1:2" x14ac:dyDescent="0.2">
      <c r="A219" s="108">
        <f t="shared" ca="1" si="7"/>
        <v>1.5237649860373843</v>
      </c>
      <c r="B219" s="124">
        <f t="shared" ca="1" si="6"/>
        <v>0.40475299720747693</v>
      </c>
    </row>
    <row r="220" spans="1:2" x14ac:dyDescent="0.2">
      <c r="A220" s="108">
        <f t="shared" ca="1" si="7"/>
        <v>-1.6290789391593403</v>
      </c>
      <c r="B220" s="124">
        <f t="shared" ca="1" si="6"/>
        <v>-0.22581578783186809</v>
      </c>
    </row>
    <row r="221" spans="1:2" x14ac:dyDescent="0.2">
      <c r="A221" s="108">
        <f t="shared" ca="1" si="7"/>
        <v>2.27689859870042</v>
      </c>
      <c r="B221" s="124">
        <f t="shared" ca="1" si="6"/>
        <v>0.55537971974008404</v>
      </c>
    </row>
    <row r="222" spans="1:2" x14ac:dyDescent="0.2">
      <c r="A222" s="108">
        <f t="shared" ca="1" si="7"/>
        <v>1.1735605428095208</v>
      </c>
      <c r="B222" s="124">
        <f t="shared" ca="1" si="6"/>
        <v>0.33471210856190414</v>
      </c>
    </row>
    <row r="223" spans="1:2" x14ac:dyDescent="0.2">
      <c r="A223" s="108">
        <f t="shared" ca="1" si="7"/>
        <v>-2.4243753623482203</v>
      </c>
      <c r="B223" s="124">
        <f t="shared" ca="1" si="6"/>
        <v>-0.38487507246964403</v>
      </c>
    </row>
    <row r="224" spans="1:2" x14ac:dyDescent="0.2">
      <c r="A224" s="108">
        <f t="shared" ca="1" si="7"/>
        <v>0.26102869051687128</v>
      </c>
      <c r="B224" s="124">
        <f t="shared" ca="1" si="6"/>
        <v>0.15220573810337426</v>
      </c>
    </row>
    <row r="225" spans="1:2" x14ac:dyDescent="0.2">
      <c r="A225" s="108">
        <f t="shared" ca="1" si="7"/>
        <v>1.0938694595691301</v>
      </c>
      <c r="B225" s="124">
        <f t="shared" ca="1" si="6"/>
        <v>0.31877389191382599</v>
      </c>
    </row>
    <row r="226" spans="1:2" x14ac:dyDescent="0.2">
      <c r="A226" s="108">
        <f t="shared" ca="1" si="7"/>
        <v>-0.87292181822322779</v>
      </c>
      <c r="B226" s="124">
        <f t="shared" ca="1" si="6"/>
        <v>-7.4584363644645574E-2</v>
      </c>
    </row>
    <row r="227" spans="1:2" x14ac:dyDescent="0.2">
      <c r="A227" s="108">
        <f t="shared" ca="1" si="7"/>
        <v>-0.61436411256529599</v>
      </c>
      <c r="B227" s="124">
        <f t="shared" ca="1" si="6"/>
        <v>-2.2872822513059193E-2</v>
      </c>
    </row>
    <row r="228" spans="1:2" x14ac:dyDescent="0.2">
      <c r="A228" s="108">
        <f t="shared" ca="1" si="7"/>
        <v>-1.2088263058327888</v>
      </c>
      <c r="B228" s="124">
        <f t="shared" ca="1" si="6"/>
        <v>-0.14176526116655777</v>
      </c>
    </row>
    <row r="229" spans="1:2" x14ac:dyDescent="0.2">
      <c r="A229" s="108">
        <f t="shared" ca="1" si="7"/>
        <v>1.0860840100708473</v>
      </c>
      <c r="B229" s="124">
        <f t="shared" ca="1" si="6"/>
        <v>0.31721680201416946</v>
      </c>
    </row>
    <row r="230" spans="1:2" x14ac:dyDescent="0.2">
      <c r="A230" s="108">
        <f t="shared" ca="1" si="7"/>
        <v>0.71940764705057891</v>
      </c>
      <c r="B230" s="124">
        <f t="shared" ca="1" si="6"/>
        <v>0.24388152941011579</v>
      </c>
    </row>
    <row r="231" spans="1:2" x14ac:dyDescent="0.2">
      <c r="A231" s="108">
        <f t="shared" ca="1" si="7"/>
        <v>-0.10997263040407683</v>
      </c>
      <c r="B231" s="124">
        <f t="shared" ca="1" si="6"/>
        <v>7.8005473919184637E-2</v>
      </c>
    </row>
    <row r="232" spans="1:2" x14ac:dyDescent="0.2">
      <c r="A232" s="108">
        <f t="shared" ca="1" si="7"/>
        <v>3.596617813858999</v>
      </c>
      <c r="B232" s="124">
        <f t="shared" ca="1" si="6"/>
        <v>0.81932356277179985</v>
      </c>
    </row>
    <row r="233" spans="1:2" x14ac:dyDescent="0.2">
      <c r="A233" s="108">
        <f t="shared" ca="1" si="7"/>
        <v>-4.0327287232964429E-2</v>
      </c>
      <c r="B233" s="124">
        <f t="shared" ca="1" si="6"/>
        <v>9.193454255340712E-2</v>
      </c>
    </row>
    <row r="234" spans="1:2" x14ac:dyDescent="0.2">
      <c r="A234" s="108">
        <f t="shared" ca="1" si="7"/>
        <v>-1.4560125694115209</v>
      </c>
      <c r="B234" s="124">
        <f t="shared" ca="1" si="6"/>
        <v>-0.19120251388230416</v>
      </c>
    </row>
    <row r="235" spans="1:2" x14ac:dyDescent="0.2">
      <c r="A235" s="108">
        <f t="shared" ca="1" si="7"/>
        <v>0.8479570454695099</v>
      </c>
      <c r="B235" s="124">
        <f t="shared" ca="1" si="6"/>
        <v>0.269591409093902</v>
      </c>
    </row>
    <row r="236" spans="1:2" x14ac:dyDescent="0.2">
      <c r="A236" s="108">
        <f t="shared" ca="1" si="7"/>
        <v>-0.14632772221197485</v>
      </c>
      <c r="B236" s="124">
        <f t="shared" ca="1" si="6"/>
        <v>7.0734455557605033E-2</v>
      </c>
    </row>
    <row r="237" spans="1:2" x14ac:dyDescent="0.2">
      <c r="A237" s="108">
        <f t="shared" ca="1" si="7"/>
        <v>-0.73165026540445133</v>
      </c>
      <c r="B237" s="124">
        <f t="shared" ca="1" si="6"/>
        <v>-4.6330053080890277E-2</v>
      </c>
    </row>
    <row r="238" spans="1:2" x14ac:dyDescent="0.2">
      <c r="A238" s="108">
        <f t="shared" ca="1" si="7"/>
        <v>-1.3113730170109386</v>
      </c>
      <c r="B238" s="124">
        <f t="shared" ca="1" si="6"/>
        <v>-0.16227460340218772</v>
      </c>
    </row>
    <row r="239" spans="1:2" x14ac:dyDescent="0.2">
      <c r="A239" s="108">
        <f t="shared" ca="1" si="7"/>
        <v>-0.18091623413218005</v>
      </c>
      <c r="B239" s="124">
        <f t="shared" ca="1" si="6"/>
        <v>6.3816753173564E-2</v>
      </c>
    </row>
    <row r="240" spans="1:2" x14ac:dyDescent="0.2">
      <c r="A240" s="108">
        <f t="shared" ca="1" si="7"/>
        <v>-0.10129390258849326</v>
      </c>
      <c r="B240" s="124">
        <f t="shared" ca="1" si="6"/>
        <v>7.9741219482301354E-2</v>
      </c>
    </row>
    <row r="241" spans="1:2" x14ac:dyDescent="0.2">
      <c r="A241" s="108">
        <f t="shared" ca="1" si="7"/>
        <v>-0.39449562765162138</v>
      </c>
      <c r="B241" s="124">
        <f t="shared" ca="1" si="6"/>
        <v>2.1100874469675721E-2</v>
      </c>
    </row>
    <row r="242" spans="1:2" x14ac:dyDescent="0.2">
      <c r="A242" s="108">
        <f t="shared" ca="1" si="7"/>
        <v>0.15990793703242828</v>
      </c>
      <c r="B242" s="124">
        <f t="shared" ca="1" si="6"/>
        <v>0.13198158740648566</v>
      </c>
    </row>
    <row r="243" spans="1:2" x14ac:dyDescent="0.2">
      <c r="A243" s="108">
        <f t="shared" ca="1" si="7"/>
        <v>-1.3840938612725688</v>
      </c>
      <c r="B243" s="124">
        <f t="shared" ca="1" si="6"/>
        <v>-0.17681877225451378</v>
      </c>
    </row>
    <row r="244" spans="1:2" x14ac:dyDescent="0.2">
      <c r="A244" s="108">
        <f t="shared" ca="1" si="7"/>
        <v>-0.29518530583572333</v>
      </c>
      <c r="B244" s="124">
        <f t="shared" ca="1" si="6"/>
        <v>4.0962938832855338E-2</v>
      </c>
    </row>
    <row r="245" spans="1:2" x14ac:dyDescent="0.2">
      <c r="A245" s="108">
        <f t="shared" ca="1" si="7"/>
        <v>2.6218486382311665</v>
      </c>
      <c r="B245" s="124">
        <f t="shared" ca="1" si="6"/>
        <v>0.62436972764623333</v>
      </c>
    </row>
    <row r="246" spans="1:2" x14ac:dyDescent="0.2">
      <c r="A246" s="108">
        <f t="shared" ca="1" si="7"/>
        <v>0.49204382819372594</v>
      </c>
      <c r="B246" s="124">
        <f t="shared" ca="1" si="6"/>
        <v>0.19840876563874521</v>
      </c>
    </row>
    <row r="247" spans="1:2" x14ac:dyDescent="0.2">
      <c r="A247" s="108">
        <f t="shared" ca="1" si="7"/>
        <v>1.3719447524387147</v>
      </c>
      <c r="B247" s="124">
        <f t="shared" ca="1" si="6"/>
        <v>0.37438895048774301</v>
      </c>
    </row>
    <row r="248" spans="1:2" x14ac:dyDescent="0.2">
      <c r="A248" s="108">
        <f t="shared" ca="1" si="7"/>
        <v>0.23187730270626727</v>
      </c>
      <c r="B248" s="124">
        <f t="shared" ca="1" si="6"/>
        <v>0.14637546054125347</v>
      </c>
    </row>
    <row r="249" spans="1:2" x14ac:dyDescent="0.2">
      <c r="A249" s="108">
        <f t="shared" ca="1" si="7"/>
        <v>3.2803598926965515E-2</v>
      </c>
      <c r="B249" s="124">
        <f t="shared" ca="1" si="6"/>
        <v>0.10656071978539311</v>
      </c>
    </row>
    <row r="250" spans="1:2" x14ac:dyDescent="0.2">
      <c r="A250" s="108">
        <f t="shared" ca="1" si="7"/>
        <v>-2.4938541244161829</v>
      </c>
      <c r="B250" s="124">
        <f t="shared" ca="1" si="6"/>
        <v>-0.39877082488323656</v>
      </c>
    </row>
    <row r="251" spans="1:2" x14ac:dyDescent="0.2">
      <c r="A251" s="108">
        <f t="shared" ca="1" si="7"/>
        <v>-0.32865083178279192</v>
      </c>
      <c r="B251" s="124">
        <f t="shared" ca="1" si="6"/>
        <v>3.4269833643441619E-2</v>
      </c>
    </row>
    <row r="252" spans="1:2" x14ac:dyDescent="0.2">
      <c r="A252" s="108">
        <f t="shared" ca="1" si="7"/>
        <v>1.5113960372863005</v>
      </c>
      <c r="B252" s="124">
        <f t="shared" ca="1" si="6"/>
        <v>0.40227920745726009</v>
      </c>
    </row>
    <row r="253" spans="1:2" x14ac:dyDescent="0.2">
      <c r="A253" s="108">
        <f t="shared" ca="1" si="7"/>
        <v>0.60010061726424746</v>
      </c>
      <c r="B253" s="124">
        <f t="shared" ca="1" si="6"/>
        <v>0.22002012345284949</v>
      </c>
    </row>
    <row r="254" spans="1:2" x14ac:dyDescent="0.2">
      <c r="A254" s="108">
        <f t="shared" ca="1" si="7"/>
        <v>0.38246208670069798</v>
      </c>
      <c r="B254" s="124">
        <f t="shared" ca="1" si="6"/>
        <v>0.1764924173401396</v>
      </c>
    </row>
    <row r="255" spans="1:2" x14ac:dyDescent="0.2">
      <c r="A255" s="108">
        <f t="shared" ca="1" si="7"/>
        <v>1.6009037860438871</v>
      </c>
      <c r="B255" s="124">
        <f t="shared" ca="1" si="6"/>
        <v>0.42018075720877746</v>
      </c>
    </row>
    <row r="256" spans="1:2" x14ac:dyDescent="0.2">
      <c r="A256" s="108">
        <f t="shared" ca="1" si="7"/>
        <v>-1.2304126498068688</v>
      </c>
      <c r="B256" s="124">
        <f t="shared" ca="1" si="6"/>
        <v>-0.14608252996137377</v>
      </c>
    </row>
    <row r="257" spans="1:2" x14ac:dyDescent="0.2">
      <c r="A257" s="108">
        <f t="shared" ca="1" si="7"/>
        <v>-2.4691226753988802E-2</v>
      </c>
      <c r="B257" s="124">
        <f t="shared" ca="1" si="6"/>
        <v>9.5061754649202246E-2</v>
      </c>
    </row>
    <row r="258" spans="1:2" x14ac:dyDescent="0.2">
      <c r="A258" s="108">
        <f t="shared" ca="1" si="7"/>
        <v>0.77045214369189574</v>
      </c>
      <c r="B258" s="124">
        <f t="shared" ca="1" si="6"/>
        <v>0.25409042873837917</v>
      </c>
    </row>
    <row r="259" spans="1:2" x14ac:dyDescent="0.2">
      <c r="A259" s="108">
        <f t="shared" ca="1" si="7"/>
        <v>0.25023290633781958</v>
      </c>
      <c r="B259" s="124">
        <f t="shared" ca="1" si="6"/>
        <v>0.15004658126756393</v>
      </c>
    </row>
    <row r="260" spans="1:2" x14ac:dyDescent="0.2">
      <c r="A260" s="108">
        <f t="shared" ca="1" si="7"/>
        <v>2.3555992278126379</v>
      </c>
      <c r="B260" s="124">
        <f t="shared" ca="1" si="6"/>
        <v>0.57111984556252759</v>
      </c>
    </row>
    <row r="261" spans="1:2" x14ac:dyDescent="0.2">
      <c r="A261" s="108">
        <f t="shared" ca="1" si="7"/>
        <v>-1.7463537455279121</v>
      </c>
      <c r="B261" s="124">
        <f t="shared" ca="1" si="6"/>
        <v>-0.24927074910558242</v>
      </c>
    </row>
    <row r="262" spans="1:2" x14ac:dyDescent="0.2">
      <c r="A262" s="108">
        <f t="shared" ca="1" si="7"/>
        <v>-1.4352589059439649</v>
      </c>
      <c r="B262" s="124">
        <f t="shared" ca="1" si="6"/>
        <v>-0.18705178118879298</v>
      </c>
    </row>
    <row r="263" spans="1:2" x14ac:dyDescent="0.2">
      <c r="A263" s="108">
        <f t="shared" ca="1" si="7"/>
        <v>0.80771374756753289</v>
      </c>
      <c r="B263" s="124">
        <f t="shared" ca="1" si="6"/>
        <v>0.26154274951350659</v>
      </c>
    </row>
    <row r="264" spans="1:2" x14ac:dyDescent="0.2">
      <c r="A264" s="108">
        <f t="shared" ca="1" si="7"/>
        <v>0.23455715513466957</v>
      </c>
      <c r="B264" s="124">
        <f t="shared" ca="1" si="6"/>
        <v>0.14691143102693394</v>
      </c>
    </row>
    <row r="265" spans="1:2" x14ac:dyDescent="0.2">
      <c r="A265" s="108">
        <f t="shared" ca="1" si="7"/>
        <v>-0.56064658174369375</v>
      </c>
      <c r="B265" s="124">
        <f t="shared" ca="1" si="6"/>
        <v>-1.2129316348738747E-2</v>
      </c>
    </row>
    <row r="266" spans="1:2" x14ac:dyDescent="0.2">
      <c r="A266" s="108">
        <f t="shared" ca="1" si="7"/>
        <v>-0.87925970118454244</v>
      </c>
      <c r="B266" s="124">
        <f t="shared" ref="B266:B329" ca="1" si="8">$C$1+A266*$C$2</f>
        <v>-7.5851940236908499E-2</v>
      </c>
    </row>
    <row r="267" spans="1:2" x14ac:dyDescent="0.2">
      <c r="A267" s="108">
        <f t="shared" ref="A267:A330" ca="1" si="9">NORMSINV(RAND())</f>
        <v>0.26884320746633733</v>
      </c>
      <c r="B267" s="124">
        <f t="shared" ca="1" si="8"/>
        <v>0.15376864149326747</v>
      </c>
    </row>
    <row r="268" spans="1:2" x14ac:dyDescent="0.2">
      <c r="A268" s="108">
        <f t="shared" ca="1" si="9"/>
        <v>-1.1048351451583776</v>
      </c>
      <c r="B268" s="124">
        <f t="shared" ca="1" si="8"/>
        <v>-0.12096702903167553</v>
      </c>
    </row>
    <row r="269" spans="1:2" x14ac:dyDescent="0.2">
      <c r="A269" s="108">
        <f t="shared" ca="1" si="9"/>
        <v>0.86107605361777007</v>
      </c>
      <c r="B269" s="124">
        <f t="shared" ca="1" si="8"/>
        <v>0.27221521072355404</v>
      </c>
    </row>
    <row r="270" spans="1:2" x14ac:dyDescent="0.2">
      <c r="A270" s="108">
        <f t="shared" ca="1" si="9"/>
        <v>-1.8156647031774005</v>
      </c>
      <c r="B270" s="124">
        <f t="shared" ca="1" si="8"/>
        <v>-0.26313294063548009</v>
      </c>
    </row>
    <row r="271" spans="1:2" x14ac:dyDescent="0.2">
      <c r="A271" s="108">
        <f t="shared" ca="1" si="9"/>
        <v>-1.8785622234509358E-2</v>
      </c>
      <c r="B271" s="124">
        <f t="shared" ca="1" si="8"/>
        <v>9.6242875553098128E-2</v>
      </c>
    </row>
    <row r="272" spans="1:2" x14ac:dyDescent="0.2">
      <c r="A272" s="108">
        <f t="shared" ca="1" si="9"/>
        <v>3.6524788898285769E-3</v>
      </c>
      <c r="B272" s="124">
        <f t="shared" ca="1" si="8"/>
        <v>0.10073049577796572</v>
      </c>
    </row>
    <row r="273" spans="1:2" x14ac:dyDescent="0.2">
      <c r="A273" s="108">
        <f t="shared" ca="1" si="9"/>
        <v>-1.3002724785553439</v>
      </c>
      <c r="B273" s="124">
        <f t="shared" ca="1" si="8"/>
        <v>-0.16005449571106881</v>
      </c>
    </row>
    <row r="274" spans="1:2" x14ac:dyDescent="0.2">
      <c r="A274" s="108">
        <f t="shared" ca="1" si="9"/>
        <v>-0.35803961204709334</v>
      </c>
      <c r="B274" s="124">
        <f t="shared" ca="1" si="8"/>
        <v>2.8392077590581336E-2</v>
      </c>
    </row>
    <row r="275" spans="1:2" x14ac:dyDescent="0.2">
      <c r="A275" s="108">
        <f t="shared" ca="1" si="9"/>
        <v>0.72892217185753039</v>
      </c>
      <c r="B275" s="124">
        <f t="shared" ca="1" si="8"/>
        <v>0.2457844343715061</v>
      </c>
    </row>
    <row r="276" spans="1:2" x14ac:dyDescent="0.2">
      <c r="A276" s="108">
        <f t="shared" ca="1" si="9"/>
        <v>1.1319017783457641</v>
      </c>
      <c r="B276" s="124">
        <f t="shared" ca="1" si="8"/>
        <v>0.3263803556691528</v>
      </c>
    </row>
    <row r="277" spans="1:2" x14ac:dyDescent="0.2">
      <c r="A277" s="108">
        <f t="shared" ca="1" si="9"/>
        <v>2.8381759045813566</v>
      </c>
      <c r="B277" s="124">
        <f t="shared" ca="1" si="8"/>
        <v>0.66763518091627128</v>
      </c>
    </row>
    <row r="278" spans="1:2" x14ac:dyDescent="0.2">
      <c r="A278" s="108">
        <f t="shared" ca="1" si="9"/>
        <v>0.90871442248996614</v>
      </c>
      <c r="B278" s="124">
        <f t="shared" ca="1" si="8"/>
        <v>0.28174288449799323</v>
      </c>
    </row>
    <row r="279" spans="1:2" x14ac:dyDescent="0.2">
      <c r="A279" s="108">
        <f t="shared" ca="1" si="9"/>
        <v>-0.9497740557776756</v>
      </c>
      <c r="B279" s="124">
        <f t="shared" ca="1" si="8"/>
        <v>-8.9954811155535136E-2</v>
      </c>
    </row>
    <row r="280" spans="1:2" x14ac:dyDescent="0.2">
      <c r="A280" s="108">
        <f t="shared" ca="1" si="9"/>
        <v>1.301507473162526</v>
      </c>
      <c r="B280" s="124">
        <f t="shared" ca="1" si="8"/>
        <v>0.36030149463250527</v>
      </c>
    </row>
    <row r="281" spans="1:2" x14ac:dyDescent="0.2">
      <c r="A281" s="108">
        <f t="shared" ca="1" si="9"/>
        <v>1.1523778076440372</v>
      </c>
      <c r="B281" s="124">
        <f t="shared" ca="1" si="8"/>
        <v>0.33047556152880742</v>
      </c>
    </row>
    <row r="282" spans="1:2" x14ac:dyDescent="0.2">
      <c r="A282" s="108">
        <f t="shared" ca="1" si="9"/>
        <v>1.4767465966820239</v>
      </c>
      <c r="B282" s="124">
        <f t="shared" ca="1" si="8"/>
        <v>0.39534931933640483</v>
      </c>
    </row>
    <row r="283" spans="1:2" x14ac:dyDescent="0.2">
      <c r="A283" s="108">
        <f t="shared" ca="1" si="9"/>
        <v>1.5398919037846183E-2</v>
      </c>
      <c r="B283" s="124">
        <f t="shared" ca="1" si="8"/>
        <v>0.10307978380756924</v>
      </c>
    </row>
    <row r="284" spans="1:2" x14ac:dyDescent="0.2">
      <c r="A284" s="108">
        <f t="shared" ca="1" si="9"/>
        <v>-0.78268433734912901</v>
      </c>
      <c r="B284" s="124">
        <f t="shared" ca="1" si="8"/>
        <v>-5.6536867469825808E-2</v>
      </c>
    </row>
    <row r="285" spans="1:2" x14ac:dyDescent="0.2">
      <c r="A285" s="108">
        <f t="shared" ca="1" si="9"/>
        <v>2.6849018052182809</v>
      </c>
      <c r="B285" s="124">
        <f t="shared" ca="1" si="8"/>
        <v>0.63698036104365618</v>
      </c>
    </row>
    <row r="286" spans="1:2" x14ac:dyDescent="0.2">
      <c r="A286" s="108">
        <f t="shared" ca="1" si="9"/>
        <v>0.47723926934992433</v>
      </c>
      <c r="B286" s="124">
        <f t="shared" ca="1" si="8"/>
        <v>0.19544785386998487</v>
      </c>
    </row>
    <row r="287" spans="1:2" x14ac:dyDescent="0.2">
      <c r="A287" s="108">
        <f t="shared" ca="1" si="9"/>
        <v>-0.20541384168353163</v>
      </c>
      <c r="B287" s="124">
        <f t="shared" ca="1" si="8"/>
        <v>5.8917231663293677E-2</v>
      </c>
    </row>
    <row r="288" spans="1:2" x14ac:dyDescent="0.2">
      <c r="A288" s="108">
        <f t="shared" ca="1" si="9"/>
        <v>-2.2153055423788963</v>
      </c>
      <c r="B288" s="124">
        <f t="shared" ca="1" si="8"/>
        <v>-0.34306110847577931</v>
      </c>
    </row>
    <row r="289" spans="1:2" x14ac:dyDescent="0.2">
      <c r="A289" s="108">
        <f t="shared" ca="1" si="9"/>
        <v>0.84022109921279431</v>
      </c>
      <c r="B289" s="124">
        <f t="shared" ca="1" si="8"/>
        <v>0.26804421984255888</v>
      </c>
    </row>
    <row r="290" spans="1:2" x14ac:dyDescent="0.2">
      <c r="A290" s="108">
        <f t="shared" ca="1" si="9"/>
        <v>0.84690856848165197</v>
      </c>
      <c r="B290" s="124">
        <f t="shared" ca="1" si="8"/>
        <v>0.2693817136963304</v>
      </c>
    </row>
    <row r="291" spans="1:2" x14ac:dyDescent="0.2">
      <c r="A291" s="108">
        <f t="shared" ca="1" si="9"/>
        <v>0.79576999096537793</v>
      </c>
      <c r="B291" s="124">
        <f t="shared" ca="1" si="8"/>
        <v>0.25915399819307561</v>
      </c>
    </row>
    <row r="292" spans="1:2" x14ac:dyDescent="0.2">
      <c r="A292" s="108">
        <f t="shared" ca="1" si="9"/>
        <v>-0.10309247026268936</v>
      </c>
      <c r="B292" s="124">
        <f t="shared" ca="1" si="8"/>
        <v>7.9381505947462128E-2</v>
      </c>
    </row>
    <row r="293" spans="1:2" x14ac:dyDescent="0.2">
      <c r="A293" s="108">
        <f t="shared" ca="1" si="9"/>
        <v>0.52697195017809384</v>
      </c>
      <c r="B293" s="124">
        <f t="shared" ca="1" si="8"/>
        <v>0.20539439003561877</v>
      </c>
    </row>
    <row r="294" spans="1:2" x14ac:dyDescent="0.2">
      <c r="A294" s="108">
        <f t="shared" ca="1" si="9"/>
        <v>-7.5806969792324597E-2</v>
      </c>
      <c r="B294" s="124">
        <f t="shared" ca="1" si="8"/>
        <v>8.4838606041535092E-2</v>
      </c>
    </row>
    <row r="295" spans="1:2" x14ac:dyDescent="0.2">
      <c r="A295" s="108">
        <f t="shared" ca="1" si="9"/>
        <v>-0.1111615233613529</v>
      </c>
      <c r="B295" s="124">
        <f t="shared" ca="1" si="8"/>
        <v>7.7767695327729425E-2</v>
      </c>
    </row>
    <row r="296" spans="1:2" x14ac:dyDescent="0.2">
      <c r="A296" s="108">
        <f t="shared" ca="1" si="9"/>
        <v>0.14579169319150567</v>
      </c>
      <c r="B296" s="124">
        <f t="shared" ca="1" si="8"/>
        <v>0.12915833863830115</v>
      </c>
    </row>
    <row r="297" spans="1:2" x14ac:dyDescent="0.2">
      <c r="A297" s="108">
        <f t="shared" ca="1" si="9"/>
        <v>2.2770788505554194</v>
      </c>
      <c r="B297" s="124">
        <f t="shared" ca="1" si="8"/>
        <v>0.5554157701110839</v>
      </c>
    </row>
    <row r="298" spans="1:2" x14ac:dyDescent="0.2">
      <c r="A298" s="108">
        <f t="shared" ca="1" si="9"/>
        <v>0.33386476178313962</v>
      </c>
      <c r="B298" s="124">
        <f t="shared" ca="1" si="8"/>
        <v>0.16677295235662792</v>
      </c>
    </row>
    <row r="299" spans="1:2" x14ac:dyDescent="0.2">
      <c r="A299" s="108">
        <f t="shared" ca="1" si="9"/>
        <v>1.4786145488002069</v>
      </c>
      <c r="B299" s="124">
        <f t="shared" ca="1" si="8"/>
        <v>0.39572290976004143</v>
      </c>
    </row>
    <row r="300" spans="1:2" x14ac:dyDescent="0.2">
      <c r="A300" s="108">
        <f t="shared" ca="1" si="9"/>
        <v>1.5080994087992901</v>
      </c>
      <c r="B300" s="124">
        <f t="shared" ca="1" si="8"/>
        <v>0.40161988175985808</v>
      </c>
    </row>
    <row r="301" spans="1:2" x14ac:dyDescent="0.2">
      <c r="A301" s="108">
        <f t="shared" ca="1" si="9"/>
        <v>-0.25822838821264221</v>
      </c>
      <c r="B301" s="124">
        <f t="shared" ca="1" si="8"/>
        <v>4.8354322357471557E-2</v>
      </c>
    </row>
    <row r="302" spans="1:2" x14ac:dyDescent="0.2">
      <c r="A302" s="108">
        <f t="shared" ca="1" si="9"/>
        <v>-0.69074215807894768</v>
      </c>
      <c r="B302" s="124">
        <f t="shared" ca="1" si="8"/>
        <v>-3.8148431615789541E-2</v>
      </c>
    </row>
    <row r="303" spans="1:2" x14ac:dyDescent="0.2">
      <c r="A303" s="108">
        <f t="shared" ca="1" si="9"/>
        <v>-0.91626116145071046</v>
      </c>
      <c r="B303" s="124">
        <f t="shared" ca="1" si="8"/>
        <v>-8.3252232290142086E-2</v>
      </c>
    </row>
    <row r="304" spans="1:2" x14ac:dyDescent="0.2">
      <c r="A304" s="108">
        <f t="shared" ca="1" si="9"/>
        <v>-0.29683864095732376</v>
      </c>
      <c r="B304" s="124">
        <f t="shared" ca="1" si="8"/>
        <v>4.063227180853525E-2</v>
      </c>
    </row>
    <row r="305" spans="1:2" x14ac:dyDescent="0.2">
      <c r="A305" s="108">
        <f t="shared" ca="1" si="9"/>
        <v>-0.56201176765792293</v>
      </c>
      <c r="B305" s="124">
        <f t="shared" ca="1" si="8"/>
        <v>-1.2402353531584587E-2</v>
      </c>
    </row>
    <row r="306" spans="1:2" x14ac:dyDescent="0.2">
      <c r="A306" s="108">
        <f t="shared" ca="1" si="9"/>
        <v>1.2015206184463298</v>
      </c>
      <c r="B306" s="124">
        <f t="shared" ca="1" si="8"/>
        <v>0.34030412368926599</v>
      </c>
    </row>
    <row r="307" spans="1:2" x14ac:dyDescent="0.2">
      <c r="A307" s="108">
        <f t="shared" ca="1" si="9"/>
        <v>1.7049731250141833</v>
      </c>
      <c r="B307" s="124">
        <f t="shared" ca="1" si="8"/>
        <v>0.4409946250028367</v>
      </c>
    </row>
    <row r="308" spans="1:2" x14ac:dyDescent="0.2">
      <c r="A308" s="108">
        <f t="shared" ca="1" si="9"/>
        <v>-1.2005198495551777</v>
      </c>
      <c r="B308" s="124">
        <f t="shared" ca="1" si="8"/>
        <v>-0.14010396991103555</v>
      </c>
    </row>
    <row r="309" spans="1:2" x14ac:dyDescent="0.2">
      <c r="A309" s="108">
        <f t="shared" ca="1" si="9"/>
        <v>1.09526379236581</v>
      </c>
      <c r="B309" s="124">
        <f t="shared" ca="1" si="8"/>
        <v>0.319052758473162</v>
      </c>
    </row>
    <row r="310" spans="1:2" x14ac:dyDescent="0.2">
      <c r="A310" s="108">
        <f t="shared" ca="1" si="9"/>
        <v>1.5134966551366349</v>
      </c>
      <c r="B310" s="124">
        <f t="shared" ca="1" si="8"/>
        <v>0.40269933102732702</v>
      </c>
    </row>
    <row r="311" spans="1:2" x14ac:dyDescent="0.2">
      <c r="A311" s="108">
        <f t="shared" ca="1" si="9"/>
        <v>0.69602689642964011</v>
      </c>
      <c r="B311" s="124">
        <f t="shared" ca="1" si="8"/>
        <v>0.23920537928592803</v>
      </c>
    </row>
    <row r="312" spans="1:2" x14ac:dyDescent="0.2">
      <c r="A312" s="108">
        <f t="shared" ca="1" si="9"/>
        <v>0.41457287069525539</v>
      </c>
      <c r="B312" s="124">
        <f t="shared" ca="1" si="8"/>
        <v>0.1829145741390511</v>
      </c>
    </row>
    <row r="313" spans="1:2" x14ac:dyDescent="0.2">
      <c r="A313" s="108">
        <f t="shared" ca="1" si="9"/>
        <v>-2.2895383593782346</v>
      </c>
      <c r="B313" s="124">
        <f t="shared" ca="1" si="8"/>
        <v>-0.35790767187564698</v>
      </c>
    </row>
    <row r="314" spans="1:2" x14ac:dyDescent="0.2">
      <c r="A314" s="108">
        <f t="shared" ca="1" si="9"/>
        <v>0.36102079550033195</v>
      </c>
      <c r="B314" s="124">
        <f t="shared" ca="1" si="8"/>
        <v>0.1722041591000664</v>
      </c>
    </row>
    <row r="315" spans="1:2" x14ac:dyDescent="0.2">
      <c r="A315" s="108">
        <f t="shared" ca="1" si="9"/>
        <v>1.001752249724247</v>
      </c>
      <c r="B315" s="124">
        <f t="shared" ca="1" si="8"/>
        <v>0.30035044994484938</v>
      </c>
    </row>
    <row r="316" spans="1:2" x14ac:dyDescent="0.2">
      <c r="A316" s="108">
        <f t="shared" ca="1" si="9"/>
        <v>0.86097593234912628</v>
      </c>
      <c r="B316" s="124">
        <f t="shared" ca="1" si="8"/>
        <v>0.27219518646982527</v>
      </c>
    </row>
    <row r="317" spans="1:2" x14ac:dyDescent="0.2">
      <c r="A317" s="108">
        <f t="shared" ca="1" si="9"/>
        <v>-0.95205131213810823</v>
      </c>
      <c r="B317" s="124">
        <f t="shared" ca="1" si="8"/>
        <v>-9.0410262427621652E-2</v>
      </c>
    </row>
    <row r="318" spans="1:2" x14ac:dyDescent="0.2">
      <c r="A318" s="108">
        <f t="shared" ca="1" si="9"/>
        <v>0.24732467441558947</v>
      </c>
      <c r="B318" s="124">
        <f t="shared" ca="1" si="8"/>
        <v>0.14946493488311791</v>
      </c>
    </row>
    <row r="319" spans="1:2" x14ac:dyDescent="0.2">
      <c r="A319" s="108">
        <f t="shared" ca="1" si="9"/>
        <v>-1.0176431453336399</v>
      </c>
      <c r="B319" s="124">
        <f t="shared" ca="1" si="8"/>
        <v>-0.10352862906672797</v>
      </c>
    </row>
    <row r="320" spans="1:2" x14ac:dyDescent="0.2">
      <c r="A320" s="108">
        <f t="shared" ca="1" si="9"/>
        <v>-9.6410640025006253E-2</v>
      </c>
      <c r="B320" s="124">
        <f t="shared" ca="1" si="8"/>
        <v>8.0717871994998747E-2</v>
      </c>
    </row>
    <row r="321" spans="1:2" x14ac:dyDescent="0.2">
      <c r="A321" s="108">
        <f t="shared" ca="1" si="9"/>
        <v>-1.5798588127953719</v>
      </c>
      <c r="B321" s="124">
        <f t="shared" ca="1" si="8"/>
        <v>-0.21597176255907438</v>
      </c>
    </row>
    <row r="322" spans="1:2" x14ac:dyDescent="0.2">
      <c r="A322" s="108">
        <f t="shared" ca="1" si="9"/>
        <v>1.0051229110464712</v>
      </c>
      <c r="B322" s="124">
        <f t="shared" ca="1" si="8"/>
        <v>0.30102458220929429</v>
      </c>
    </row>
    <row r="323" spans="1:2" x14ac:dyDescent="0.2">
      <c r="A323" s="108">
        <f t="shared" ca="1" si="9"/>
        <v>-9.6146731390254619E-2</v>
      </c>
      <c r="B323" s="124">
        <f t="shared" ca="1" si="8"/>
        <v>8.0770653721949082E-2</v>
      </c>
    </row>
    <row r="324" spans="1:2" x14ac:dyDescent="0.2">
      <c r="A324" s="108">
        <f t="shared" ca="1" si="9"/>
        <v>0.26035702867996313</v>
      </c>
      <c r="B324" s="124">
        <f t="shared" ca="1" si="8"/>
        <v>0.15207140573599265</v>
      </c>
    </row>
    <row r="325" spans="1:2" x14ac:dyDescent="0.2">
      <c r="A325" s="108">
        <f t="shared" ca="1" si="9"/>
        <v>0.74481601426439792</v>
      </c>
      <c r="B325" s="124">
        <f t="shared" ca="1" si="8"/>
        <v>0.24896320285287959</v>
      </c>
    </row>
    <row r="326" spans="1:2" x14ac:dyDescent="0.2">
      <c r="A326" s="108">
        <f t="shared" ca="1" si="9"/>
        <v>-0.25043697157540878</v>
      </c>
      <c r="B326" s="124">
        <f t="shared" ca="1" si="8"/>
        <v>4.9912605684918246E-2</v>
      </c>
    </row>
    <row r="327" spans="1:2" x14ac:dyDescent="0.2">
      <c r="A327" s="108">
        <f t="shared" ca="1" si="9"/>
        <v>-6.0582640711160972E-3</v>
      </c>
      <c r="B327" s="124">
        <f t="shared" ca="1" si="8"/>
        <v>9.8788347185776781E-2</v>
      </c>
    </row>
    <row r="328" spans="1:2" x14ac:dyDescent="0.2">
      <c r="A328" s="108">
        <f t="shared" ca="1" si="9"/>
        <v>-0.68278417729161789</v>
      </c>
      <c r="B328" s="124">
        <f t="shared" ca="1" si="8"/>
        <v>-3.6556835458323583E-2</v>
      </c>
    </row>
    <row r="329" spans="1:2" x14ac:dyDescent="0.2">
      <c r="A329" s="108">
        <f t="shared" ca="1" si="9"/>
        <v>-0.26796680311139048</v>
      </c>
      <c r="B329" s="124">
        <f t="shared" ca="1" si="8"/>
        <v>4.6406639377721909E-2</v>
      </c>
    </row>
    <row r="330" spans="1:2" x14ac:dyDescent="0.2">
      <c r="A330" s="108">
        <f t="shared" ca="1" si="9"/>
        <v>-0.78218763973753225</v>
      </c>
      <c r="B330" s="124">
        <f t="shared" ref="B330:B393" ca="1" si="10">$C$1+A330*$C$2</f>
        <v>-5.643752794750645E-2</v>
      </c>
    </row>
    <row r="331" spans="1:2" x14ac:dyDescent="0.2">
      <c r="A331" s="108">
        <f t="shared" ref="A331:A394" ca="1" si="11">NORMSINV(RAND())</f>
        <v>7.7401268905430906E-2</v>
      </c>
      <c r="B331" s="124">
        <f t="shared" ca="1" si="10"/>
        <v>0.11548025378108619</v>
      </c>
    </row>
    <row r="332" spans="1:2" x14ac:dyDescent="0.2">
      <c r="A332" s="108">
        <f t="shared" ca="1" si="11"/>
        <v>-0.96670382057946858</v>
      </c>
      <c r="B332" s="124">
        <f t="shared" ca="1" si="10"/>
        <v>-9.3340764115893732E-2</v>
      </c>
    </row>
    <row r="333" spans="1:2" x14ac:dyDescent="0.2">
      <c r="A333" s="108">
        <f t="shared" ca="1" si="11"/>
        <v>-0.15306909291671858</v>
      </c>
      <c r="B333" s="124">
        <f t="shared" ca="1" si="10"/>
        <v>6.9386181416656284E-2</v>
      </c>
    </row>
    <row r="334" spans="1:2" x14ac:dyDescent="0.2">
      <c r="A334" s="108">
        <f t="shared" ca="1" si="11"/>
        <v>1.1800940303060441</v>
      </c>
      <c r="B334" s="124">
        <f t="shared" ca="1" si="10"/>
        <v>0.33601880606120882</v>
      </c>
    </row>
    <row r="335" spans="1:2" x14ac:dyDescent="0.2">
      <c r="A335" s="108">
        <f t="shared" ca="1" si="11"/>
        <v>0.10901484153631087</v>
      </c>
      <c r="B335" s="124">
        <f t="shared" ca="1" si="10"/>
        <v>0.12180296830726219</v>
      </c>
    </row>
    <row r="336" spans="1:2" x14ac:dyDescent="0.2">
      <c r="A336" s="108">
        <f t="shared" ca="1" si="11"/>
        <v>-4.7963608188382911E-2</v>
      </c>
      <c r="B336" s="124">
        <f t="shared" ca="1" si="10"/>
        <v>9.0407278362323429E-2</v>
      </c>
    </row>
    <row r="337" spans="1:2" x14ac:dyDescent="0.2">
      <c r="A337" s="108">
        <f t="shared" ca="1" si="11"/>
        <v>-0.24381109618380203</v>
      </c>
      <c r="B337" s="124">
        <f t="shared" ca="1" si="10"/>
        <v>5.1237780763239593E-2</v>
      </c>
    </row>
    <row r="338" spans="1:2" x14ac:dyDescent="0.2">
      <c r="A338" s="108">
        <f t="shared" ca="1" si="11"/>
        <v>-0.4713530450826553</v>
      </c>
      <c r="B338" s="124">
        <f t="shared" ca="1" si="10"/>
        <v>5.729390983468946E-3</v>
      </c>
    </row>
    <row r="339" spans="1:2" x14ac:dyDescent="0.2">
      <c r="A339" s="108">
        <f t="shared" ca="1" si="11"/>
        <v>-0.15400948855873067</v>
      </c>
      <c r="B339" s="124">
        <f t="shared" ca="1" si="10"/>
        <v>6.9198102288253877E-2</v>
      </c>
    </row>
    <row r="340" spans="1:2" x14ac:dyDescent="0.2">
      <c r="A340" s="108">
        <f t="shared" ca="1" si="11"/>
        <v>1.4500081481472593</v>
      </c>
      <c r="B340" s="124">
        <f t="shared" ca="1" si="10"/>
        <v>0.39000162962945184</v>
      </c>
    </row>
    <row r="341" spans="1:2" x14ac:dyDescent="0.2">
      <c r="A341" s="108">
        <f t="shared" ca="1" si="11"/>
        <v>1.085467582328645</v>
      </c>
      <c r="B341" s="124">
        <f t="shared" ca="1" si="10"/>
        <v>0.31709351646572903</v>
      </c>
    </row>
    <row r="342" spans="1:2" x14ac:dyDescent="0.2">
      <c r="A342" s="108">
        <f t="shared" ca="1" si="11"/>
        <v>1.2816919733895149</v>
      </c>
      <c r="B342" s="124">
        <f t="shared" ca="1" si="10"/>
        <v>0.35633839467790296</v>
      </c>
    </row>
    <row r="343" spans="1:2" x14ac:dyDescent="0.2">
      <c r="A343" s="108">
        <f t="shared" ca="1" si="11"/>
        <v>1.0072622180799156</v>
      </c>
      <c r="B343" s="124">
        <f t="shared" ca="1" si="10"/>
        <v>0.30145244361598311</v>
      </c>
    </row>
    <row r="344" spans="1:2" x14ac:dyDescent="0.2">
      <c r="A344" s="108">
        <f t="shared" ca="1" si="11"/>
        <v>-1.3210386519687896E-3</v>
      </c>
      <c r="B344" s="124">
        <f t="shared" ca="1" si="10"/>
        <v>9.9735792269606244E-2</v>
      </c>
    </row>
    <row r="345" spans="1:2" x14ac:dyDescent="0.2">
      <c r="A345" s="108">
        <f t="shared" ca="1" si="11"/>
        <v>-0.45380744786845734</v>
      </c>
      <c r="B345" s="124">
        <f t="shared" ca="1" si="10"/>
        <v>9.2385104263085355E-3</v>
      </c>
    </row>
    <row r="346" spans="1:2" x14ac:dyDescent="0.2">
      <c r="A346" s="108">
        <f t="shared" ca="1" si="11"/>
        <v>0.30010185983720761</v>
      </c>
      <c r="B346" s="124">
        <f t="shared" ca="1" si="10"/>
        <v>0.16002037196744154</v>
      </c>
    </row>
    <row r="347" spans="1:2" x14ac:dyDescent="0.2">
      <c r="A347" s="108">
        <f t="shared" ca="1" si="11"/>
        <v>1.8824891693127128</v>
      </c>
      <c r="B347" s="124">
        <f t="shared" ca="1" si="10"/>
        <v>0.47649783386254263</v>
      </c>
    </row>
    <row r="348" spans="1:2" x14ac:dyDescent="0.2">
      <c r="A348" s="108">
        <f t="shared" ca="1" si="11"/>
        <v>0.71335894255099552</v>
      </c>
      <c r="B348" s="124">
        <f t="shared" ca="1" si="10"/>
        <v>0.2426717885101991</v>
      </c>
    </row>
    <row r="349" spans="1:2" x14ac:dyDescent="0.2">
      <c r="A349" s="108">
        <f t="shared" ca="1" si="11"/>
        <v>-1.7667899269532369E-2</v>
      </c>
      <c r="B349" s="124">
        <f t="shared" ca="1" si="10"/>
        <v>9.6466420146093537E-2</v>
      </c>
    </row>
    <row r="350" spans="1:2" x14ac:dyDescent="0.2">
      <c r="A350" s="108">
        <f t="shared" ca="1" si="11"/>
        <v>0.45934215433659253</v>
      </c>
      <c r="B350" s="124">
        <f t="shared" ca="1" si="10"/>
        <v>0.19186843086731853</v>
      </c>
    </row>
    <row r="351" spans="1:2" x14ac:dyDescent="0.2">
      <c r="A351" s="108">
        <f t="shared" ca="1" si="11"/>
        <v>0.25750502540369408</v>
      </c>
      <c r="B351" s="124">
        <f t="shared" ca="1" si="10"/>
        <v>0.15150100508073883</v>
      </c>
    </row>
    <row r="352" spans="1:2" x14ac:dyDescent="0.2">
      <c r="A352" s="108">
        <f t="shared" ca="1" si="11"/>
        <v>1.2486400132187609</v>
      </c>
      <c r="B352" s="124">
        <f t="shared" ca="1" si="10"/>
        <v>0.3497280026437522</v>
      </c>
    </row>
    <row r="353" spans="1:2" x14ac:dyDescent="0.2">
      <c r="A353" s="108">
        <f t="shared" ca="1" si="11"/>
        <v>0.27095698395154577</v>
      </c>
      <c r="B353" s="124">
        <f t="shared" ca="1" si="10"/>
        <v>0.15419139679030916</v>
      </c>
    </row>
    <row r="354" spans="1:2" x14ac:dyDescent="0.2">
      <c r="A354" s="108">
        <f t="shared" ca="1" si="11"/>
        <v>-0.36913623674277846</v>
      </c>
      <c r="B354" s="124">
        <f t="shared" ca="1" si="10"/>
        <v>2.6172752651444309E-2</v>
      </c>
    </row>
    <row r="355" spans="1:2" x14ac:dyDescent="0.2">
      <c r="A355" s="108">
        <f t="shared" ca="1" si="11"/>
        <v>1.5644564571342421</v>
      </c>
      <c r="B355" s="124">
        <f t="shared" ca="1" si="10"/>
        <v>0.41289129142684844</v>
      </c>
    </row>
    <row r="356" spans="1:2" x14ac:dyDescent="0.2">
      <c r="A356" s="108">
        <f t="shared" ca="1" si="11"/>
        <v>0.45211345085905191</v>
      </c>
      <c r="B356" s="124">
        <f t="shared" ca="1" si="10"/>
        <v>0.1904226901718104</v>
      </c>
    </row>
    <row r="357" spans="1:2" x14ac:dyDescent="0.2">
      <c r="A357" s="108">
        <f t="shared" ca="1" si="11"/>
        <v>-1.1232985216078977</v>
      </c>
      <c r="B357" s="124">
        <f t="shared" ca="1" si="10"/>
        <v>-0.12465970432157955</v>
      </c>
    </row>
    <row r="358" spans="1:2" x14ac:dyDescent="0.2">
      <c r="A358" s="108">
        <f t="shared" ca="1" si="11"/>
        <v>0.46447343661522089</v>
      </c>
      <c r="B358" s="124">
        <f t="shared" ca="1" si="10"/>
        <v>0.19289468732304418</v>
      </c>
    </row>
    <row r="359" spans="1:2" x14ac:dyDescent="0.2">
      <c r="A359" s="108">
        <f t="shared" ca="1" si="11"/>
        <v>0.62088938063454802</v>
      </c>
      <c r="B359" s="124">
        <f t="shared" ca="1" si="10"/>
        <v>0.22417787612690962</v>
      </c>
    </row>
    <row r="360" spans="1:2" x14ac:dyDescent="0.2">
      <c r="A360" s="108">
        <f t="shared" ca="1" si="11"/>
        <v>-1.6432617805543646</v>
      </c>
      <c r="B360" s="124">
        <f t="shared" ca="1" si="10"/>
        <v>-0.22865235611087295</v>
      </c>
    </row>
    <row r="361" spans="1:2" x14ac:dyDescent="0.2">
      <c r="A361" s="108">
        <f t="shared" ca="1" si="11"/>
        <v>-1.9775429824081502E-2</v>
      </c>
      <c r="B361" s="124">
        <f t="shared" ca="1" si="10"/>
        <v>9.6044914035183698E-2</v>
      </c>
    </row>
    <row r="362" spans="1:2" x14ac:dyDescent="0.2">
      <c r="A362" s="108">
        <f t="shared" ca="1" si="11"/>
        <v>-0.14327296856305205</v>
      </c>
      <c r="B362" s="124">
        <f t="shared" ca="1" si="10"/>
        <v>7.1345406287389598E-2</v>
      </c>
    </row>
    <row r="363" spans="1:2" x14ac:dyDescent="0.2">
      <c r="A363" s="108">
        <f t="shared" ca="1" si="11"/>
        <v>-4.3929434452631429E-2</v>
      </c>
      <c r="B363" s="124">
        <f t="shared" ca="1" si="10"/>
        <v>9.1214113109473721E-2</v>
      </c>
    </row>
    <row r="364" spans="1:2" x14ac:dyDescent="0.2">
      <c r="A364" s="108">
        <f t="shared" ca="1" si="11"/>
        <v>-1.5950831589919265</v>
      </c>
      <c r="B364" s="124">
        <f t="shared" ca="1" si="10"/>
        <v>-0.21901663179838535</v>
      </c>
    </row>
    <row r="365" spans="1:2" x14ac:dyDescent="0.2">
      <c r="A365" s="108">
        <f t="shared" ca="1" si="11"/>
        <v>-0.784841238049381</v>
      </c>
      <c r="B365" s="124">
        <f t="shared" ca="1" si="10"/>
        <v>-5.6968247609876205E-2</v>
      </c>
    </row>
    <row r="366" spans="1:2" x14ac:dyDescent="0.2">
      <c r="A366" s="108">
        <f t="shared" ca="1" si="11"/>
        <v>-0.869246178829998</v>
      </c>
      <c r="B366" s="124">
        <f t="shared" ca="1" si="10"/>
        <v>-7.384923576599961E-2</v>
      </c>
    </row>
    <row r="367" spans="1:2" x14ac:dyDescent="0.2">
      <c r="A367" s="108">
        <f t="shared" ca="1" si="11"/>
        <v>0.36682991420203737</v>
      </c>
      <c r="B367" s="124">
        <f t="shared" ca="1" si="10"/>
        <v>0.1733659828404075</v>
      </c>
    </row>
    <row r="368" spans="1:2" x14ac:dyDescent="0.2">
      <c r="A368" s="108">
        <f t="shared" ca="1" si="11"/>
        <v>0.7156450298782101</v>
      </c>
      <c r="B368" s="124">
        <f t="shared" ca="1" si="10"/>
        <v>0.24312900597564202</v>
      </c>
    </row>
    <row r="369" spans="1:2" x14ac:dyDescent="0.2">
      <c r="A369" s="108">
        <f t="shared" ca="1" si="11"/>
        <v>-0.40313382141177767</v>
      </c>
      <c r="B369" s="124">
        <f t="shared" ca="1" si="10"/>
        <v>1.937323571764446E-2</v>
      </c>
    </row>
    <row r="370" spans="1:2" x14ac:dyDescent="0.2">
      <c r="A370" s="108">
        <f t="shared" ca="1" si="11"/>
        <v>-0.39261044927112709</v>
      </c>
      <c r="B370" s="124">
        <f t="shared" ca="1" si="10"/>
        <v>2.1477910145774576E-2</v>
      </c>
    </row>
    <row r="371" spans="1:2" x14ac:dyDescent="0.2">
      <c r="A371" s="108">
        <f t="shared" ca="1" si="11"/>
        <v>2.5612029056092296</v>
      </c>
      <c r="B371" s="124">
        <f t="shared" ca="1" si="10"/>
        <v>0.61224058112184587</v>
      </c>
    </row>
    <row r="372" spans="1:2" x14ac:dyDescent="0.2">
      <c r="A372" s="108">
        <f t="shared" ca="1" si="11"/>
        <v>-0.90365121148497218</v>
      </c>
      <c r="B372" s="124">
        <f t="shared" ca="1" si="10"/>
        <v>-8.0730242296994437E-2</v>
      </c>
    </row>
    <row r="373" spans="1:2" x14ac:dyDescent="0.2">
      <c r="A373" s="108">
        <f t="shared" ca="1" si="11"/>
        <v>-1.6392465668983283</v>
      </c>
      <c r="B373" s="124">
        <f t="shared" ca="1" si="10"/>
        <v>-0.22784931337966566</v>
      </c>
    </row>
    <row r="374" spans="1:2" x14ac:dyDescent="0.2">
      <c r="A374" s="108">
        <f t="shared" ca="1" si="11"/>
        <v>-0.72978640061327116</v>
      </c>
      <c r="B374" s="124">
        <f t="shared" ca="1" si="10"/>
        <v>-4.5957280122654237E-2</v>
      </c>
    </row>
    <row r="375" spans="1:2" x14ac:dyDescent="0.2">
      <c r="A375" s="108">
        <f t="shared" ca="1" si="11"/>
        <v>6.6731108278016552E-2</v>
      </c>
      <c r="B375" s="124">
        <f t="shared" ca="1" si="10"/>
        <v>0.11334622165560332</v>
      </c>
    </row>
    <row r="376" spans="1:2" x14ac:dyDescent="0.2">
      <c r="A376" s="108">
        <f t="shared" ca="1" si="11"/>
        <v>0.53020776000441872</v>
      </c>
      <c r="B376" s="124">
        <f t="shared" ca="1" si="10"/>
        <v>0.20604155200088375</v>
      </c>
    </row>
    <row r="377" spans="1:2" x14ac:dyDescent="0.2">
      <c r="A377" s="108">
        <f t="shared" ca="1" si="11"/>
        <v>0.2228209211162944</v>
      </c>
      <c r="B377" s="124">
        <f t="shared" ca="1" si="10"/>
        <v>0.1445641842232589</v>
      </c>
    </row>
    <row r="378" spans="1:2" x14ac:dyDescent="0.2">
      <c r="A378" s="108">
        <f t="shared" ca="1" si="11"/>
        <v>-0.74973013093918695</v>
      </c>
      <c r="B378" s="124">
        <f t="shared" ca="1" si="10"/>
        <v>-4.9946026187837389E-2</v>
      </c>
    </row>
    <row r="379" spans="1:2" x14ac:dyDescent="0.2">
      <c r="A379" s="108">
        <f t="shared" ca="1" si="11"/>
        <v>1.2805979630125186</v>
      </c>
      <c r="B379" s="124">
        <f t="shared" ca="1" si="10"/>
        <v>0.3561195926025037</v>
      </c>
    </row>
    <row r="380" spans="1:2" x14ac:dyDescent="0.2">
      <c r="A380" s="108">
        <f t="shared" ca="1" si="11"/>
        <v>0.95358560643817281</v>
      </c>
      <c r="B380" s="124">
        <f t="shared" ca="1" si="10"/>
        <v>0.29071712128763461</v>
      </c>
    </row>
    <row r="381" spans="1:2" x14ac:dyDescent="0.2">
      <c r="A381" s="108">
        <f t="shared" ca="1" si="11"/>
        <v>0.95460735531239416</v>
      </c>
      <c r="B381" s="124">
        <f t="shared" ca="1" si="10"/>
        <v>0.29092147106247884</v>
      </c>
    </row>
    <row r="382" spans="1:2" x14ac:dyDescent="0.2">
      <c r="A382" s="108">
        <f t="shared" ca="1" si="11"/>
        <v>0.88020702811079909</v>
      </c>
      <c r="B382" s="124">
        <f t="shared" ca="1" si="10"/>
        <v>0.27604140562215984</v>
      </c>
    </row>
    <row r="383" spans="1:2" x14ac:dyDescent="0.2">
      <c r="A383" s="108">
        <f t="shared" ca="1" si="11"/>
        <v>-0.96298584924012665</v>
      </c>
      <c r="B383" s="124">
        <f t="shared" ca="1" si="10"/>
        <v>-9.2597169848025324E-2</v>
      </c>
    </row>
    <row r="384" spans="1:2" x14ac:dyDescent="0.2">
      <c r="A384" s="108">
        <f t="shared" ca="1" si="11"/>
        <v>1.2215895968437429</v>
      </c>
      <c r="B384" s="124">
        <f t="shared" ca="1" si="10"/>
        <v>0.34431791936874856</v>
      </c>
    </row>
    <row r="385" spans="1:2" x14ac:dyDescent="0.2">
      <c r="A385" s="108">
        <f t="shared" ca="1" si="11"/>
        <v>-0.5819095720019638</v>
      </c>
      <c r="B385" s="124">
        <f t="shared" ca="1" si="10"/>
        <v>-1.6381914400392758E-2</v>
      </c>
    </row>
    <row r="386" spans="1:2" x14ac:dyDescent="0.2">
      <c r="A386" s="108">
        <f t="shared" ca="1" si="11"/>
        <v>1.4375021792643901</v>
      </c>
      <c r="B386" s="124">
        <f t="shared" ca="1" si="10"/>
        <v>0.38750043585287808</v>
      </c>
    </row>
    <row r="387" spans="1:2" x14ac:dyDescent="0.2">
      <c r="A387" s="108">
        <f t="shared" ca="1" si="11"/>
        <v>0.84965851079499133</v>
      </c>
      <c r="B387" s="124">
        <f t="shared" ca="1" si="10"/>
        <v>0.26993170215899831</v>
      </c>
    </row>
    <row r="388" spans="1:2" x14ac:dyDescent="0.2">
      <c r="A388" s="108">
        <f t="shared" ca="1" si="11"/>
        <v>-0.84761876055779606</v>
      </c>
      <c r="B388" s="124">
        <f t="shared" ca="1" si="10"/>
        <v>-6.9523752111559228E-2</v>
      </c>
    </row>
    <row r="389" spans="1:2" x14ac:dyDescent="0.2">
      <c r="A389" s="108">
        <f t="shared" ca="1" si="11"/>
        <v>1.0680249090097111</v>
      </c>
      <c r="B389" s="124">
        <f t="shared" ca="1" si="10"/>
        <v>0.31360498180194224</v>
      </c>
    </row>
    <row r="390" spans="1:2" x14ac:dyDescent="0.2">
      <c r="A390" s="108">
        <f t="shared" ca="1" si="11"/>
        <v>-0.65321223784130666</v>
      </c>
      <c r="B390" s="124">
        <f t="shared" ca="1" si="10"/>
        <v>-3.0642447568261344E-2</v>
      </c>
    </row>
    <row r="391" spans="1:2" x14ac:dyDescent="0.2">
      <c r="A391" s="108">
        <f t="shared" ca="1" si="11"/>
        <v>-1.0862679723947839</v>
      </c>
      <c r="B391" s="124">
        <f t="shared" ca="1" si="10"/>
        <v>-0.11725359447895678</v>
      </c>
    </row>
    <row r="392" spans="1:2" x14ac:dyDescent="0.2">
      <c r="A392" s="108">
        <f t="shared" ca="1" si="11"/>
        <v>0.20214435554435931</v>
      </c>
      <c r="B392" s="124">
        <f t="shared" ca="1" si="10"/>
        <v>0.14042887110887187</v>
      </c>
    </row>
    <row r="393" spans="1:2" x14ac:dyDescent="0.2">
      <c r="A393" s="108">
        <f t="shared" ca="1" si="11"/>
        <v>0.97182929999701628</v>
      </c>
      <c r="B393" s="124">
        <f t="shared" ca="1" si="10"/>
        <v>0.29436585999940323</v>
      </c>
    </row>
    <row r="394" spans="1:2" x14ac:dyDescent="0.2">
      <c r="A394" s="108">
        <f t="shared" ca="1" si="11"/>
        <v>0.23574068504768431</v>
      </c>
      <c r="B394" s="124">
        <f t="shared" ref="B394:B457" ca="1" si="12">$C$1+A394*$C$2</f>
        <v>0.14714813700953688</v>
      </c>
    </row>
    <row r="395" spans="1:2" x14ac:dyDescent="0.2">
      <c r="A395" s="108">
        <f t="shared" ref="A395:A458" ca="1" si="13">NORMSINV(RAND())</f>
        <v>-8.8812280072818003E-4</v>
      </c>
      <c r="B395" s="124">
        <f t="shared" ca="1" si="12"/>
        <v>9.9822375439854366E-2</v>
      </c>
    </row>
    <row r="396" spans="1:2" x14ac:dyDescent="0.2">
      <c r="A396" s="108">
        <f t="shared" ca="1" si="13"/>
        <v>-0.36628475071709904</v>
      </c>
      <c r="B396" s="124">
        <f t="shared" ca="1" si="12"/>
        <v>2.6743049856580201E-2</v>
      </c>
    </row>
    <row r="397" spans="1:2" x14ac:dyDescent="0.2">
      <c r="A397" s="108">
        <f t="shared" ca="1" si="13"/>
        <v>0.25153276721354323</v>
      </c>
      <c r="B397" s="124">
        <f t="shared" ca="1" si="12"/>
        <v>0.15030655344270866</v>
      </c>
    </row>
    <row r="398" spans="1:2" x14ac:dyDescent="0.2">
      <c r="A398" s="108">
        <f t="shared" ca="1" si="13"/>
        <v>0.8669604913880109</v>
      </c>
      <c r="B398" s="124">
        <f t="shared" ca="1" si="12"/>
        <v>0.27339209827760219</v>
      </c>
    </row>
    <row r="399" spans="1:2" x14ac:dyDescent="0.2">
      <c r="A399" s="108">
        <f t="shared" ca="1" si="13"/>
        <v>-0.13916847230998886</v>
      </c>
      <c r="B399" s="124">
        <f t="shared" ca="1" si="12"/>
        <v>7.216630553800224E-2</v>
      </c>
    </row>
    <row r="400" spans="1:2" x14ac:dyDescent="0.2">
      <c r="A400" s="108">
        <f t="shared" ca="1" si="13"/>
        <v>-0.61971379945811145</v>
      </c>
      <c r="B400" s="124">
        <f t="shared" ca="1" si="12"/>
        <v>-2.3942759891622284E-2</v>
      </c>
    </row>
    <row r="401" spans="1:2" x14ac:dyDescent="0.2">
      <c r="A401" s="108">
        <f t="shared" ca="1" si="13"/>
        <v>2.0960100441434655</v>
      </c>
      <c r="B401" s="124">
        <f t="shared" ca="1" si="12"/>
        <v>0.51920200882869316</v>
      </c>
    </row>
    <row r="402" spans="1:2" x14ac:dyDescent="0.2">
      <c r="A402" s="108">
        <f t="shared" ca="1" si="13"/>
        <v>-3.4831698775535038</v>
      </c>
      <c r="B402" s="124">
        <f t="shared" ca="1" si="12"/>
        <v>-0.59663397551070085</v>
      </c>
    </row>
    <row r="403" spans="1:2" x14ac:dyDescent="0.2">
      <c r="A403" s="108">
        <f t="shared" ca="1" si="13"/>
        <v>0.11779012449935364</v>
      </c>
      <c r="B403" s="124">
        <f t="shared" ca="1" si="12"/>
        <v>0.12355802489987074</v>
      </c>
    </row>
    <row r="404" spans="1:2" x14ac:dyDescent="0.2">
      <c r="A404" s="108">
        <f t="shared" ca="1" si="13"/>
        <v>0.2708927643113771</v>
      </c>
      <c r="B404" s="124">
        <f t="shared" ca="1" si="12"/>
        <v>0.15417855286227544</v>
      </c>
    </row>
    <row r="405" spans="1:2" x14ac:dyDescent="0.2">
      <c r="A405" s="108">
        <f t="shared" ca="1" si="13"/>
        <v>-0.8179260094700751</v>
      </c>
      <c r="B405" s="124">
        <f t="shared" ca="1" si="12"/>
        <v>-6.3585201894015037E-2</v>
      </c>
    </row>
    <row r="406" spans="1:2" x14ac:dyDescent="0.2">
      <c r="A406" s="108">
        <f t="shared" ca="1" si="13"/>
        <v>0.23958900238880065</v>
      </c>
      <c r="B406" s="124">
        <f t="shared" ca="1" si="12"/>
        <v>0.14791780047776015</v>
      </c>
    </row>
    <row r="407" spans="1:2" x14ac:dyDescent="0.2">
      <c r="A407" s="108">
        <f t="shared" ca="1" si="13"/>
        <v>0.11774073772325747</v>
      </c>
      <c r="B407" s="124">
        <f t="shared" ca="1" si="12"/>
        <v>0.1235481475446515</v>
      </c>
    </row>
    <row r="408" spans="1:2" x14ac:dyDescent="0.2">
      <c r="A408" s="108">
        <f t="shared" ca="1" si="13"/>
        <v>-1.5431569598671475</v>
      </c>
      <c r="B408" s="124">
        <f t="shared" ca="1" si="12"/>
        <v>-0.20863139197342953</v>
      </c>
    </row>
    <row r="409" spans="1:2" x14ac:dyDescent="0.2">
      <c r="A409" s="108">
        <f t="shared" ca="1" si="13"/>
        <v>-2.4852121654649784</v>
      </c>
      <c r="B409" s="124">
        <f t="shared" ca="1" si="12"/>
        <v>-0.39704243309299569</v>
      </c>
    </row>
    <row r="410" spans="1:2" x14ac:dyDescent="0.2">
      <c r="A410" s="108">
        <f t="shared" ca="1" si="13"/>
        <v>1.594563723512302</v>
      </c>
      <c r="B410" s="124">
        <f t="shared" ca="1" si="12"/>
        <v>0.41891274470246043</v>
      </c>
    </row>
    <row r="411" spans="1:2" x14ac:dyDescent="0.2">
      <c r="A411" s="108">
        <f t="shared" ca="1" si="13"/>
        <v>0.940013407262556</v>
      </c>
      <c r="B411" s="124">
        <f t="shared" ca="1" si="12"/>
        <v>0.28800268145251118</v>
      </c>
    </row>
    <row r="412" spans="1:2" x14ac:dyDescent="0.2">
      <c r="A412" s="108">
        <f t="shared" ca="1" si="13"/>
        <v>0.27131801812311424</v>
      </c>
      <c r="B412" s="124">
        <f t="shared" ca="1" si="12"/>
        <v>0.15426360362462285</v>
      </c>
    </row>
    <row r="413" spans="1:2" x14ac:dyDescent="0.2">
      <c r="A413" s="108">
        <f t="shared" ca="1" si="13"/>
        <v>0.90850259769942576</v>
      </c>
      <c r="B413" s="124">
        <f t="shared" ca="1" si="12"/>
        <v>0.28170051953988517</v>
      </c>
    </row>
    <row r="414" spans="1:2" x14ac:dyDescent="0.2">
      <c r="A414" s="108">
        <f t="shared" ca="1" si="13"/>
        <v>0.40197787171153332</v>
      </c>
      <c r="B414" s="124">
        <f t="shared" ca="1" si="12"/>
        <v>0.18039557434230669</v>
      </c>
    </row>
    <row r="415" spans="1:2" x14ac:dyDescent="0.2">
      <c r="A415" s="108">
        <f t="shared" ca="1" si="13"/>
        <v>0.86589992117687409</v>
      </c>
      <c r="B415" s="124">
        <f t="shared" ca="1" si="12"/>
        <v>0.27317998423537482</v>
      </c>
    </row>
    <row r="416" spans="1:2" x14ac:dyDescent="0.2">
      <c r="A416" s="108">
        <f t="shared" ca="1" si="13"/>
        <v>-1.7323502531049164</v>
      </c>
      <c r="B416" s="124">
        <f t="shared" ca="1" si="12"/>
        <v>-0.24647005062098329</v>
      </c>
    </row>
    <row r="417" spans="1:2" x14ac:dyDescent="0.2">
      <c r="A417" s="108">
        <f t="shared" ca="1" si="13"/>
        <v>-0.93776902816814467</v>
      </c>
      <c r="B417" s="124">
        <f t="shared" ca="1" si="12"/>
        <v>-8.7553805633628939E-2</v>
      </c>
    </row>
    <row r="418" spans="1:2" x14ac:dyDescent="0.2">
      <c r="A418" s="108">
        <f t="shared" ca="1" si="13"/>
        <v>-0.40623861509173576</v>
      </c>
      <c r="B418" s="124">
        <f t="shared" ca="1" si="12"/>
        <v>1.8752276981652855E-2</v>
      </c>
    </row>
    <row r="419" spans="1:2" x14ac:dyDescent="0.2">
      <c r="A419" s="108">
        <f t="shared" ca="1" si="13"/>
        <v>0.80851813099247438</v>
      </c>
      <c r="B419" s="124">
        <f t="shared" ca="1" si="12"/>
        <v>0.26170362619849485</v>
      </c>
    </row>
    <row r="420" spans="1:2" x14ac:dyDescent="0.2">
      <c r="A420" s="108">
        <f t="shared" ca="1" si="13"/>
        <v>8.6646253412892379E-2</v>
      </c>
      <c r="B420" s="124">
        <f t="shared" ca="1" si="12"/>
        <v>0.11732925068257849</v>
      </c>
    </row>
    <row r="421" spans="1:2" x14ac:dyDescent="0.2">
      <c r="A421" s="108">
        <f t="shared" ca="1" si="13"/>
        <v>-1.4778910264067526</v>
      </c>
      <c r="B421" s="124">
        <f t="shared" ca="1" si="12"/>
        <v>-0.19557820528135053</v>
      </c>
    </row>
    <row r="422" spans="1:2" x14ac:dyDescent="0.2">
      <c r="A422" s="108">
        <f t="shared" ca="1" si="13"/>
        <v>-1.1703656999479304</v>
      </c>
      <c r="B422" s="124">
        <f t="shared" ca="1" si="12"/>
        <v>-0.13407313998958609</v>
      </c>
    </row>
    <row r="423" spans="1:2" x14ac:dyDescent="0.2">
      <c r="A423" s="108">
        <f t="shared" ca="1" si="13"/>
        <v>0.24429571373709411</v>
      </c>
      <c r="B423" s="124">
        <f t="shared" ca="1" si="12"/>
        <v>0.14885914274741882</v>
      </c>
    </row>
    <row r="424" spans="1:2" x14ac:dyDescent="0.2">
      <c r="A424" s="108">
        <f t="shared" ca="1" si="13"/>
        <v>0.92711988929967226</v>
      </c>
      <c r="B424" s="124">
        <f t="shared" ca="1" si="12"/>
        <v>0.28542397785993445</v>
      </c>
    </row>
    <row r="425" spans="1:2" x14ac:dyDescent="0.2">
      <c r="A425" s="108">
        <f t="shared" ca="1" si="13"/>
        <v>-0.17969435836777051</v>
      </c>
      <c r="B425" s="124">
        <f t="shared" ca="1" si="12"/>
        <v>6.4061128326445893E-2</v>
      </c>
    </row>
    <row r="426" spans="1:2" x14ac:dyDescent="0.2">
      <c r="A426" s="108">
        <f t="shared" ca="1" si="13"/>
        <v>-0.24460622340192043</v>
      </c>
      <c r="B426" s="124">
        <f t="shared" ca="1" si="12"/>
        <v>5.1078755319615921E-2</v>
      </c>
    </row>
    <row r="427" spans="1:2" x14ac:dyDescent="0.2">
      <c r="A427" s="108">
        <f t="shared" ca="1" si="13"/>
        <v>1.1959598173573331</v>
      </c>
      <c r="B427" s="124">
        <f t="shared" ca="1" si="12"/>
        <v>0.33919196347146663</v>
      </c>
    </row>
    <row r="428" spans="1:2" x14ac:dyDescent="0.2">
      <c r="A428" s="108">
        <f t="shared" ca="1" si="13"/>
        <v>2.7822949300614269E-2</v>
      </c>
      <c r="B428" s="124">
        <f t="shared" ca="1" si="12"/>
        <v>0.10556458986012286</v>
      </c>
    </row>
    <row r="429" spans="1:2" x14ac:dyDescent="0.2">
      <c r="A429" s="108">
        <f t="shared" ca="1" si="13"/>
        <v>-1.0379615260522477</v>
      </c>
      <c r="B429" s="124">
        <f t="shared" ca="1" si="12"/>
        <v>-0.10759230521044955</v>
      </c>
    </row>
    <row r="430" spans="1:2" x14ac:dyDescent="0.2">
      <c r="A430" s="108">
        <f t="shared" ca="1" si="13"/>
        <v>-0.73298734193560455</v>
      </c>
      <c r="B430" s="124">
        <f t="shared" ca="1" si="12"/>
        <v>-4.6597468387120922E-2</v>
      </c>
    </row>
    <row r="431" spans="1:2" x14ac:dyDescent="0.2">
      <c r="A431" s="108">
        <f t="shared" ca="1" si="13"/>
        <v>0.70926875016016799</v>
      </c>
      <c r="B431" s="124">
        <f t="shared" ca="1" si="12"/>
        <v>0.2418537500320336</v>
      </c>
    </row>
    <row r="432" spans="1:2" x14ac:dyDescent="0.2">
      <c r="A432" s="108">
        <f t="shared" ca="1" si="13"/>
        <v>-1.4310753181984426</v>
      </c>
      <c r="B432" s="124">
        <f t="shared" ca="1" si="12"/>
        <v>-0.18621506363968851</v>
      </c>
    </row>
    <row r="433" spans="1:2" x14ac:dyDescent="0.2">
      <c r="A433" s="108">
        <f t="shared" ca="1" si="13"/>
        <v>-0.5563054099655409</v>
      </c>
      <c r="B433" s="124">
        <f t="shared" ca="1" si="12"/>
        <v>-1.1261081993108185E-2</v>
      </c>
    </row>
    <row r="434" spans="1:2" x14ac:dyDescent="0.2">
      <c r="A434" s="108">
        <f t="shared" ca="1" si="13"/>
        <v>1.1607919843233785</v>
      </c>
      <c r="B434" s="124">
        <f t="shared" ca="1" si="12"/>
        <v>0.33215839686467574</v>
      </c>
    </row>
    <row r="435" spans="1:2" x14ac:dyDescent="0.2">
      <c r="A435" s="108">
        <f t="shared" ca="1" si="13"/>
        <v>-0.27724977571152271</v>
      </c>
      <c r="B435" s="124">
        <f t="shared" ca="1" si="12"/>
        <v>4.455004485769546E-2</v>
      </c>
    </row>
    <row r="436" spans="1:2" x14ac:dyDescent="0.2">
      <c r="A436" s="108">
        <f t="shared" ca="1" si="13"/>
        <v>-1.5540079954968895</v>
      </c>
      <c r="B436" s="124">
        <f t="shared" ca="1" si="12"/>
        <v>-0.21080159909937793</v>
      </c>
    </row>
    <row r="437" spans="1:2" x14ac:dyDescent="0.2">
      <c r="A437" s="108">
        <f t="shared" ca="1" si="13"/>
        <v>-0.33992741608164562</v>
      </c>
      <c r="B437" s="124">
        <f t="shared" ca="1" si="12"/>
        <v>3.2014516783670885E-2</v>
      </c>
    </row>
    <row r="438" spans="1:2" x14ac:dyDescent="0.2">
      <c r="A438" s="108">
        <f t="shared" ca="1" si="13"/>
        <v>-0.53094850224791923</v>
      </c>
      <c r="B438" s="124">
        <f t="shared" ca="1" si="12"/>
        <v>-6.1897004495838487E-3</v>
      </c>
    </row>
    <row r="439" spans="1:2" x14ac:dyDescent="0.2">
      <c r="A439" s="108">
        <f t="shared" ca="1" si="13"/>
        <v>0.10934176587957556</v>
      </c>
      <c r="B439" s="124">
        <f t="shared" ca="1" si="12"/>
        <v>0.12186835317591511</v>
      </c>
    </row>
    <row r="440" spans="1:2" x14ac:dyDescent="0.2">
      <c r="A440" s="108">
        <f t="shared" ca="1" si="13"/>
        <v>0.10275272499242445</v>
      </c>
      <c r="B440" s="124">
        <f t="shared" ca="1" si="12"/>
        <v>0.1205505449984849</v>
      </c>
    </row>
    <row r="441" spans="1:2" x14ac:dyDescent="0.2">
      <c r="A441" s="108">
        <f t="shared" ca="1" si="13"/>
        <v>-1.2694230761950949</v>
      </c>
      <c r="B441" s="124">
        <f t="shared" ca="1" si="12"/>
        <v>-0.153884615239019</v>
      </c>
    </row>
    <row r="442" spans="1:2" x14ac:dyDescent="0.2">
      <c r="A442" s="108">
        <f t="shared" ca="1" si="13"/>
        <v>1.1483223385596113</v>
      </c>
      <c r="B442" s="124">
        <f t="shared" ca="1" si="12"/>
        <v>0.32966446771192226</v>
      </c>
    </row>
    <row r="443" spans="1:2" x14ac:dyDescent="0.2">
      <c r="A443" s="108">
        <f t="shared" ca="1" si="13"/>
        <v>0.57176008240884102</v>
      </c>
      <c r="B443" s="124">
        <f t="shared" ca="1" si="12"/>
        <v>0.21435201648176821</v>
      </c>
    </row>
    <row r="444" spans="1:2" x14ac:dyDescent="0.2">
      <c r="A444" s="108">
        <f t="shared" ca="1" si="13"/>
        <v>-8.3146428639517489E-2</v>
      </c>
      <c r="B444" s="124">
        <f t="shared" ca="1" si="12"/>
        <v>8.3370714272096511E-2</v>
      </c>
    </row>
    <row r="445" spans="1:2" x14ac:dyDescent="0.2">
      <c r="A445" s="108">
        <f t="shared" ca="1" si="13"/>
        <v>0.54295122549200947</v>
      </c>
      <c r="B445" s="124">
        <f t="shared" ca="1" si="12"/>
        <v>0.20859024509840191</v>
      </c>
    </row>
    <row r="446" spans="1:2" x14ac:dyDescent="0.2">
      <c r="A446" s="108">
        <f t="shared" ca="1" si="13"/>
        <v>-2.87490933498676E-2</v>
      </c>
      <c r="B446" s="124">
        <f t="shared" ca="1" si="12"/>
        <v>9.4250181330026481E-2</v>
      </c>
    </row>
    <row r="447" spans="1:2" x14ac:dyDescent="0.2">
      <c r="A447" s="108">
        <f t="shared" ca="1" si="13"/>
        <v>0.39682406133898518</v>
      </c>
      <c r="B447" s="124">
        <f t="shared" ca="1" si="12"/>
        <v>0.17936481226779705</v>
      </c>
    </row>
    <row r="448" spans="1:2" x14ac:dyDescent="0.2">
      <c r="A448" s="108">
        <f t="shared" ca="1" si="13"/>
        <v>3.8940049960375533E-2</v>
      </c>
      <c r="B448" s="124">
        <f t="shared" ca="1" si="12"/>
        <v>0.10778800999207511</v>
      </c>
    </row>
    <row r="449" spans="1:2" x14ac:dyDescent="0.2">
      <c r="A449" s="108">
        <f t="shared" ca="1" si="13"/>
        <v>-0.17683897823854342</v>
      </c>
      <c r="B449" s="124">
        <f t="shared" ca="1" si="12"/>
        <v>6.463220435229132E-2</v>
      </c>
    </row>
    <row r="450" spans="1:2" x14ac:dyDescent="0.2">
      <c r="A450" s="108">
        <f t="shared" ca="1" si="13"/>
        <v>-0.79534201960256956</v>
      </c>
      <c r="B450" s="124">
        <f t="shared" ca="1" si="12"/>
        <v>-5.9068403920513907E-2</v>
      </c>
    </row>
    <row r="451" spans="1:2" x14ac:dyDescent="0.2">
      <c r="A451" s="108">
        <f t="shared" ca="1" si="13"/>
        <v>0.49596295714527061</v>
      </c>
      <c r="B451" s="124">
        <f t="shared" ca="1" si="12"/>
        <v>0.19919259142905413</v>
      </c>
    </row>
    <row r="452" spans="1:2" x14ac:dyDescent="0.2">
      <c r="A452" s="108">
        <f t="shared" ca="1" si="13"/>
        <v>-1.6076505476635146</v>
      </c>
      <c r="B452" s="124">
        <f t="shared" ca="1" si="12"/>
        <v>-0.22153010953270294</v>
      </c>
    </row>
    <row r="453" spans="1:2" x14ac:dyDescent="0.2">
      <c r="A453" s="108">
        <f t="shared" ca="1" si="13"/>
        <v>2.8486248191910666</v>
      </c>
      <c r="B453" s="124">
        <f t="shared" ca="1" si="12"/>
        <v>0.66972496383821334</v>
      </c>
    </row>
    <row r="454" spans="1:2" x14ac:dyDescent="0.2">
      <c r="A454" s="108">
        <f t="shared" ca="1" si="13"/>
        <v>-1.4718471598345348</v>
      </c>
      <c r="B454" s="124">
        <f t="shared" ca="1" si="12"/>
        <v>-0.19436943196690695</v>
      </c>
    </row>
    <row r="455" spans="1:2" x14ac:dyDescent="0.2">
      <c r="A455" s="108">
        <f t="shared" ca="1" si="13"/>
        <v>0.56832171753528082</v>
      </c>
      <c r="B455" s="124">
        <f t="shared" ca="1" si="12"/>
        <v>0.21366434350705618</v>
      </c>
    </row>
    <row r="456" spans="1:2" x14ac:dyDescent="0.2">
      <c r="A456" s="108">
        <f t="shared" ca="1" si="13"/>
        <v>0.45036377612749334</v>
      </c>
      <c r="B456" s="124">
        <f t="shared" ca="1" si="12"/>
        <v>0.19007275522549869</v>
      </c>
    </row>
    <row r="457" spans="1:2" x14ac:dyDescent="0.2">
      <c r="A457" s="108">
        <f t="shared" ca="1" si="13"/>
        <v>3.2912428951159395E-2</v>
      </c>
      <c r="B457" s="124">
        <f t="shared" ca="1" si="12"/>
        <v>0.10658248579023188</v>
      </c>
    </row>
    <row r="458" spans="1:2" x14ac:dyDescent="0.2">
      <c r="A458" s="108">
        <f t="shared" ca="1" si="13"/>
        <v>-0.45645091944801747</v>
      </c>
      <c r="B458" s="124">
        <f t="shared" ref="B458:B521" ca="1" si="14">$C$1+A458*$C$2</f>
        <v>8.7098161103965066E-3</v>
      </c>
    </row>
    <row r="459" spans="1:2" x14ac:dyDescent="0.2">
      <c r="A459" s="108">
        <f t="shared" ref="A459:A522" ca="1" si="15">NORMSINV(RAND())</f>
        <v>0.96057284664153697</v>
      </c>
      <c r="B459" s="124">
        <f t="shared" ca="1" si="14"/>
        <v>0.29211456932830737</v>
      </c>
    </row>
    <row r="460" spans="1:2" x14ac:dyDescent="0.2">
      <c r="A460" s="108">
        <f t="shared" ca="1" si="15"/>
        <v>0.60665773143633261</v>
      </c>
      <c r="B460" s="124">
        <f t="shared" ca="1" si="14"/>
        <v>0.22133154628726653</v>
      </c>
    </row>
    <row r="461" spans="1:2" x14ac:dyDescent="0.2">
      <c r="A461" s="108">
        <f t="shared" ca="1" si="15"/>
        <v>1.3205647420130306</v>
      </c>
      <c r="B461" s="124">
        <f t="shared" ca="1" si="14"/>
        <v>0.36411294840260611</v>
      </c>
    </row>
    <row r="462" spans="1:2" x14ac:dyDescent="0.2">
      <c r="A462" s="108">
        <f t="shared" ca="1" si="15"/>
        <v>-0.60547552913852998</v>
      </c>
      <c r="B462" s="124">
        <f t="shared" ca="1" si="14"/>
        <v>-2.109510582770599E-2</v>
      </c>
    </row>
    <row r="463" spans="1:2" x14ac:dyDescent="0.2">
      <c r="A463" s="108">
        <f t="shared" ca="1" si="15"/>
        <v>1.9108433531984255</v>
      </c>
      <c r="B463" s="124">
        <f t="shared" ca="1" si="14"/>
        <v>0.48216867063968516</v>
      </c>
    </row>
    <row r="464" spans="1:2" x14ac:dyDescent="0.2">
      <c r="A464" s="108">
        <f t="shared" ca="1" si="15"/>
        <v>-0.28741832858525707</v>
      </c>
      <c r="B464" s="124">
        <f t="shared" ca="1" si="14"/>
        <v>4.2516334282948591E-2</v>
      </c>
    </row>
    <row r="465" spans="1:2" x14ac:dyDescent="0.2">
      <c r="A465" s="108">
        <f t="shared" ca="1" si="15"/>
        <v>-0.85336189450007827</v>
      </c>
      <c r="B465" s="124">
        <f t="shared" ca="1" si="14"/>
        <v>-7.0672378900015653E-2</v>
      </c>
    </row>
    <row r="466" spans="1:2" x14ac:dyDescent="0.2">
      <c r="A466" s="108">
        <f t="shared" ca="1" si="15"/>
        <v>0.26927316057056905</v>
      </c>
      <c r="B466" s="124">
        <f t="shared" ca="1" si="14"/>
        <v>0.15385463211411382</v>
      </c>
    </row>
    <row r="467" spans="1:2" x14ac:dyDescent="0.2">
      <c r="A467" s="108">
        <f t="shared" ca="1" si="15"/>
        <v>1.7006720839823748</v>
      </c>
      <c r="B467" s="124">
        <f t="shared" ca="1" si="14"/>
        <v>0.44013441679647503</v>
      </c>
    </row>
    <row r="468" spans="1:2" x14ac:dyDescent="0.2">
      <c r="A468" s="108">
        <f t="shared" ca="1" si="15"/>
        <v>-0.38674447679642737</v>
      </c>
      <c r="B468" s="124">
        <f t="shared" ca="1" si="14"/>
        <v>2.2651104640714528E-2</v>
      </c>
    </row>
    <row r="469" spans="1:2" x14ac:dyDescent="0.2">
      <c r="A469" s="108">
        <f t="shared" ca="1" si="15"/>
        <v>-0.89909246112371444</v>
      </c>
      <c r="B469" s="124">
        <f t="shared" ca="1" si="14"/>
        <v>-7.9818492224742882E-2</v>
      </c>
    </row>
    <row r="470" spans="1:2" x14ac:dyDescent="0.2">
      <c r="A470" s="108">
        <f t="shared" ca="1" si="15"/>
        <v>-0.62901834568868675</v>
      </c>
      <c r="B470" s="124">
        <f t="shared" ca="1" si="14"/>
        <v>-2.5803669137737351E-2</v>
      </c>
    </row>
    <row r="471" spans="1:2" x14ac:dyDescent="0.2">
      <c r="A471" s="108">
        <f t="shared" ca="1" si="15"/>
        <v>0.3659398606281995</v>
      </c>
      <c r="B471" s="124">
        <f t="shared" ca="1" si="14"/>
        <v>0.17318797212563991</v>
      </c>
    </row>
    <row r="472" spans="1:2" x14ac:dyDescent="0.2">
      <c r="A472" s="108">
        <f t="shared" ca="1" si="15"/>
        <v>-1.3457266763429578</v>
      </c>
      <c r="B472" s="124">
        <f t="shared" ca="1" si="14"/>
        <v>-0.16914533526859157</v>
      </c>
    </row>
    <row r="473" spans="1:2" x14ac:dyDescent="0.2">
      <c r="A473" s="108">
        <f t="shared" ca="1" si="15"/>
        <v>0.66097287795383952</v>
      </c>
      <c r="B473" s="124">
        <f t="shared" ca="1" si="14"/>
        <v>0.23219457559076792</v>
      </c>
    </row>
    <row r="474" spans="1:2" x14ac:dyDescent="0.2">
      <c r="A474" s="108">
        <f t="shared" ca="1" si="15"/>
        <v>0.53889991053531527</v>
      </c>
      <c r="B474" s="124">
        <f t="shared" ca="1" si="14"/>
        <v>0.20777998210706305</v>
      </c>
    </row>
    <row r="475" spans="1:2" x14ac:dyDescent="0.2">
      <c r="A475" s="108">
        <f t="shared" ca="1" si="15"/>
        <v>-1.6483817682995252</v>
      </c>
      <c r="B475" s="124">
        <f t="shared" ca="1" si="14"/>
        <v>-0.22967635365990505</v>
      </c>
    </row>
    <row r="476" spans="1:2" x14ac:dyDescent="0.2">
      <c r="A476" s="108">
        <f t="shared" ca="1" si="15"/>
        <v>-0.75980498978383193</v>
      </c>
      <c r="B476" s="124">
        <f t="shared" ca="1" si="14"/>
        <v>-5.1960997956766397E-2</v>
      </c>
    </row>
    <row r="477" spans="1:2" x14ac:dyDescent="0.2">
      <c r="A477" s="108">
        <f t="shared" ca="1" si="15"/>
        <v>1.3333132984867964</v>
      </c>
      <c r="B477" s="124">
        <f t="shared" ca="1" si="14"/>
        <v>0.36666265969735934</v>
      </c>
    </row>
    <row r="478" spans="1:2" x14ac:dyDescent="0.2">
      <c r="A478" s="108">
        <f t="shared" ca="1" si="15"/>
        <v>1.0483407899494588</v>
      </c>
      <c r="B478" s="124">
        <f t="shared" ca="1" si="14"/>
        <v>0.30966815798989178</v>
      </c>
    </row>
    <row r="479" spans="1:2" x14ac:dyDescent="0.2">
      <c r="A479" s="108">
        <f t="shared" ca="1" si="15"/>
        <v>0.33473012610526609</v>
      </c>
      <c r="B479" s="124">
        <f t="shared" ca="1" si="14"/>
        <v>0.16694602522105323</v>
      </c>
    </row>
    <row r="480" spans="1:2" x14ac:dyDescent="0.2">
      <c r="A480" s="108">
        <f t="shared" ca="1" si="15"/>
        <v>1.1593388294456788</v>
      </c>
      <c r="B480" s="124">
        <f t="shared" ca="1" si="14"/>
        <v>0.3318677658891358</v>
      </c>
    </row>
    <row r="481" spans="1:2" x14ac:dyDescent="0.2">
      <c r="A481" s="108">
        <f t="shared" ca="1" si="15"/>
        <v>3.2967970582056796</v>
      </c>
      <c r="B481" s="124">
        <f t="shared" ca="1" si="14"/>
        <v>0.75935941164113596</v>
      </c>
    </row>
    <row r="482" spans="1:2" x14ac:dyDescent="0.2">
      <c r="A482" s="108">
        <f t="shared" ca="1" si="15"/>
        <v>0.45211978929786051</v>
      </c>
      <c r="B482" s="124">
        <f t="shared" ca="1" si="14"/>
        <v>0.19042395785957211</v>
      </c>
    </row>
    <row r="483" spans="1:2" x14ac:dyDescent="0.2">
      <c r="A483" s="108">
        <f t="shared" ca="1" si="15"/>
        <v>0.60643875104608258</v>
      </c>
      <c r="B483" s="124">
        <f t="shared" ca="1" si="14"/>
        <v>0.22128775020921654</v>
      </c>
    </row>
    <row r="484" spans="1:2" x14ac:dyDescent="0.2">
      <c r="A484" s="108">
        <f t="shared" ca="1" si="15"/>
        <v>1.2012641165047599</v>
      </c>
      <c r="B484" s="124">
        <f t="shared" ca="1" si="14"/>
        <v>0.34025282330095197</v>
      </c>
    </row>
    <row r="485" spans="1:2" x14ac:dyDescent="0.2">
      <c r="A485" s="108">
        <f t="shared" ca="1" si="15"/>
        <v>-0.48735301172028683</v>
      </c>
      <c r="B485" s="124">
        <f t="shared" ca="1" si="14"/>
        <v>2.5293976559426362E-3</v>
      </c>
    </row>
    <row r="486" spans="1:2" x14ac:dyDescent="0.2">
      <c r="A486" s="108">
        <f t="shared" ca="1" si="15"/>
        <v>-0.97223963141480907</v>
      </c>
      <c r="B486" s="124">
        <f t="shared" ca="1" si="14"/>
        <v>-9.4447926282961808E-2</v>
      </c>
    </row>
    <row r="487" spans="1:2" x14ac:dyDescent="0.2">
      <c r="A487" s="108">
        <f t="shared" ca="1" si="15"/>
        <v>0.46214560142823946</v>
      </c>
      <c r="B487" s="124">
        <f t="shared" ca="1" si="14"/>
        <v>0.1924291202856479</v>
      </c>
    </row>
    <row r="488" spans="1:2" x14ac:dyDescent="0.2">
      <c r="A488" s="108">
        <f t="shared" ca="1" si="15"/>
        <v>-1.2210441665643033</v>
      </c>
      <c r="B488" s="124">
        <f t="shared" ca="1" si="14"/>
        <v>-0.14420883331286066</v>
      </c>
    </row>
    <row r="489" spans="1:2" x14ac:dyDescent="0.2">
      <c r="A489" s="108">
        <f t="shared" ca="1" si="15"/>
        <v>-0.16491610398604151</v>
      </c>
      <c r="B489" s="124">
        <f t="shared" ca="1" si="14"/>
        <v>6.7016779202791699E-2</v>
      </c>
    </row>
    <row r="490" spans="1:2" x14ac:dyDescent="0.2">
      <c r="A490" s="108">
        <f t="shared" ca="1" si="15"/>
        <v>0.42985375482004035</v>
      </c>
      <c r="B490" s="124">
        <f t="shared" ca="1" si="14"/>
        <v>0.18597075096400809</v>
      </c>
    </row>
    <row r="491" spans="1:2" x14ac:dyDescent="0.2">
      <c r="A491" s="108">
        <f t="shared" ca="1" si="15"/>
        <v>-0.11824480210350108</v>
      </c>
      <c r="B491" s="124">
        <f t="shared" ca="1" si="14"/>
        <v>7.6351039579299784E-2</v>
      </c>
    </row>
    <row r="492" spans="1:2" x14ac:dyDescent="0.2">
      <c r="A492" s="108">
        <f t="shared" ca="1" si="15"/>
        <v>-0.45677889929840049</v>
      </c>
      <c r="B492" s="124">
        <f t="shared" ca="1" si="14"/>
        <v>8.6442201403199026E-3</v>
      </c>
    </row>
    <row r="493" spans="1:2" x14ac:dyDescent="0.2">
      <c r="A493" s="108">
        <f t="shared" ca="1" si="15"/>
        <v>1.0381341337058345</v>
      </c>
      <c r="B493" s="124">
        <f t="shared" ca="1" si="14"/>
        <v>0.30762682674116693</v>
      </c>
    </row>
    <row r="494" spans="1:2" x14ac:dyDescent="0.2">
      <c r="A494" s="108">
        <f t="shared" ca="1" si="15"/>
        <v>-0.87481085534959102</v>
      </c>
      <c r="B494" s="124">
        <f t="shared" ca="1" si="14"/>
        <v>-7.4962171069918204E-2</v>
      </c>
    </row>
    <row r="495" spans="1:2" x14ac:dyDescent="0.2">
      <c r="A495" s="108">
        <f t="shared" ca="1" si="15"/>
        <v>-1.2698113588248343</v>
      </c>
      <c r="B495" s="124">
        <f t="shared" ca="1" si="14"/>
        <v>-0.15396227176496688</v>
      </c>
    </row>
    <row r="496" spans="1:2" x14ac:dyDescent="0.2">
      <c r="A496" s="108">
        <f t="shared" ca="1" si="15"/>
        <v>-0.95858927661933746</v>
      </c>
      <c r="B496" s="124">
        <f t="shared" ca="1" si="14"/>
        <v>-9.1717855323867503E-2</v>
      </c>
    </row>
    <row r="497" spans="1:2" x14ac:dyDescent="0.2">
      <c r="A497" s="108">
        <f t="shared" ca="1" si="15"/>
        <v>1.1404917789198536</v>
      </c>
      <c r="B497" s="124">
        <f t="shared" ca="1" si="14"/>
        <v>0.32809835578397073</v>
      </c>
    </row>
    <row r="498" spans="1:2" x14ac:dyDescent="0.2">
      <c r="A498" s="108">
        <f t="shared" ca="1" si="15"/>
        <v>0.53587480439852697</v>
      </c>
      <c r="B498" s="124">
        <f t="shared" ca="1" si="14"/>
        <v>0.20717496087970541</v>
      </c>
    </row>
    <row r="499" spans="1:2" x14ac:dyDescent="0.2">
      <c r="A499" s="108">
        <f t="shared" ca="1" si="15"/>
        <v>1.0525351313797069</v>
      </c>
      <c r="B499" s="124">
        <f t="shared" ca="1" si="14"/>
        <v>0.3105070262759414</v>
      </c>
    </row>
    <row r="500" spans="1:2" x14ac:dyDescent="0.2">
      <c r="A500" s="108">
        <f t="shared" ca="1" si="15"/>
        <v>1.4318057492465823</v>
      </c>
      <c r="B500" s="124">
        <f t="shared" ca="1" si="14"/>
        <v>0.38636114984931647</v>
      </c>
    </row>
    <row r="501" spans="1:2" x14ac:dyDescent="0.2">
      <c r="A501" s="108">
        <f t="shared" ca="1" si="15"/>
        <v>0.6610711142544502</v>
      </c>
      <c r="B501" s="124">
        <f t="shared" ca="1" si="14"/>
        <v>0.23221422285089005</v>
      </c>
    </row>
    <row r="502" spans="1:2" x14ac:dyDescent="0.2">
      <c r="A502" s="108">
        <f t="shared" ca="1" si="15"/>
        <v>0.60912687477927818</v>
      </c>
      <c r="B502" s="124">
        <f t="shared" ca="1" si="14"/>
        <v>0.22182537495585564</v>
      </c>
    </row>
    <row r="503" spans="1:2" x14ac:dyDescent="0.2">
      <c r="A503" s="108">
        <f t="shared" ca="1" si="15"/>
        <v>1.1740093050614508</v>
      </c>
      <c r="B503" s="124">
        <f t="shared" ca="1" si="14"/>
        <v>0.33480186101229015</v>
      </c>
    </row>
    <row r="504" spans="1:2" x14ac:dyDescent="0.2">
      <c r="A504" s="108">
        <f t="shared" ca="1" si="15"/>
        <v>0.89911394656975319</v>
      </c>
      <c r="B504" s="124">
        <f t="shared" ca="1" si="14"/>
        <v>0.27982278931395066</v>
      </c>
    </row>
    <row r="505" spans="1:2" x14ac:dyDescent="0.2">
      <c r="A505" s="108">
        <f t="shared" ca="1" si="15"/>
        <v>-0.54393503998180615</v>
      </c>
      <c r="B505" s="124">
        <f t="shared" ca="1" si="14"/>
        <v>-8.7870079963612291E-3</v>
      </c>
    </row>
    <row r="506" spans="1:2" x14ac:dyDescent="0.2">
      <c r="A506" s="108">
        <f t="shared" ca="1" si="15"/>
        <v>-0.39540369001825998</v>
      </c>
      <c r="B506" s="124">
        <f t="shared" ca="1" si="14"/>
        <v>2.0919261996347999E-2</v>
      </c>
    </row>
    <row r="507" spans="1:2" x14ac:dyDescent="0.2">
      <c r="A507" s="108">
        <f t="shared" ca="1" si="15"/>
        <v>0.23903207974462073</v>
      </c>
      <c r="B507" s="124">
        <f t="shared" ca="1" si="14"/>
        <v>0.14780641594892416</v>
      </c>
    </row>
    <row r="508" spans="1:2" x14ac:dyDescent="0.2">
      <c r="A508" s="108">
        <f t="shared" ca="1" si="15"/>
        <v>-1.5147616117462217</v>
      </c>
      <c r="B508" s="124">
        <f t="shared" ca="1" si="14"/>
        <v>-0.20295232234924435</v>
      </c>
    </row>
    <row r="509" spans="1:2" x14ac:dyDescent="0.2">
      <c r="A509" s="108">
        <f t="shared" ca="1" si="15"/>
        <v>0.68408166106854995</v>
      </c>
      <c r="B509" s="124">
        <f t="shared" ca="1" si="14"/>
        <v>0.23681633221371001</v>
      </c>
    </row>
    <row r="510" spans="1:2" x14ac:dyDescent="0.2">
      <c r="A510" s="108">
        <f t="shared" ca="1" si="15"/>
        <v>0.77794263821504817</v>
      </c>
      <c r="B510" s="124">
        <f t="shared" ca="1" si="14"/>
        <v>0.25558852764300966</v>
      </c>
    </row>
    <row r="511" spans="1:2" x14ac:dyDescent="0.2">
      <c r="A511" s="108">
        <f t="shared" ca="1" si="15"/>
        <v>0.26616492266610053</v>
      </c>
      <c r="B511" s="124">
        <f t="shared" ca="1" si="14"/>
        <v>0.15323298453322012</v>
      </c>
    </row>
    <row r="512" spans="1:2" x14ac:dyDescent="0.2">
      <c r="A512" s="108">
        <f t="shared" ca="1" si="15"/>
        <v>-0.37475301071121836</v>
      </c>
      <c r="B512" s="124">
        <f t="shared" ca="1" si="14"/>
        <v>2.5049397857756325E-2</v>
      </c>
    </row>
    <row r="513" spans="1:2" x14ac:dyDescent="0.2">
      <c r="A513" s="108">
        <f t="shared" ca="1" si="15"/>
        <v>-0.26406527506720301</v>
      </c>
      <c r="B513" s="124">
        <f t="shared" ca="1" si="14"/>
        <v>4.7186944986559398E-2</v>
      </c>
    </row>
    <row r="514" spans="1:2" x14ac:dyDescent="0.2">
      <c r="A514" s="108">
        <f t="shared" ca="1" si="15"/>
        <v>0.12646385575899968</v>
      </c>
      <c r="B514" s="124">
        <f t="shared" ca="1" si="14"/>
        <v>0.12529277115179993</v>
      </c>
    </row>
    <row r="515" spans="1:2" x14ac:dyDescent="0.2">
      <c r="A515" s="108">
        <f t="shared" ca="1" si="15"/>
        <v>-0.37339430449739608</v>
      </c>
      <c r="B515" s="124">
        <f t="shared" ca="1" si="14"/>
        <v>2.5321139100520793E-2</v>
      </c>
    </row>
    <row r="516" spans="1:2" x14ac:dyDescent="0.2">
      <c r="A516" s="108">
        <f t="shared" ca="1" si="15"/>
        <v>-1.0342183458574683</v>
      </c>
      <c r="B516" s="124">
        <f t="shared" ca="1" si="14"/>
        <v>-0.10684366917149365</v>
      </c>
    </row>
    <row r="517" spans="1:2" x14ac:dyDescent="0.2">
      <c r="A517" s="108">
        <f t="shared" ca="1" si="15"/>
        <v>1.8905819474676171E-2</v>
      </c>
      <c r="B517" s="124">
        <f t="shared" ca="1" si="14"/>
        <v>0.10378116389493525</v>
      </c>
    </row>
    <row r="518" spans="1:2" x14ac:dyDescent="0.2">
      <c r="A518" s="108">
        <f t="shared" ca="1" si="15"/>
        <v>-1.1424334366858402</v>
      </c>
      <c r="B518" s="124">
        <f t="shared" ca="1" si="14"/>
        <v>-0.12848668733716803</v>
      </c>
    </row>
    <row r="519" spans="1:2" x14ac:dyDescent="0.2">
      <c r="A519" s="108">
        <f t="shared" ca="1" si="15"/>
        <v>0.62259448514757776</v>
      </c>
      <c r="B519" s="124">
        <f t="shared" ca="1" si="14"/>
        <v>0.22451889702951555</v>
      </c>
    </row>
    <row r="520" spans="1:2" x14ac:dyDescent="0.2">
      <c r="A520" s="108">
        <f t="shared" ca="1" si="15"/>
        <v>-0.34263496197507487</v>
      </c>
      <c r="B520" s="124">
        <f t="shared" ca="1" si="14"/>
        <v>3.1473007604985032E-2</v>
      </c>
    </row>
    <row r="521" spans="1:2" x14ac:dyDescent="0.2">
      <c r="A521" s="108">
        <f t="shared" ca="1" si="15"/>
        <v>1.2394374272879951</v>
      </c>
      <c r="B521" s="124">
        <f t="shared" ca="1" si="14"/>
        <v>0.34788748545759907</v>
      </c>
    </row>
    <row r="522" spans="1:2" x14ac:dyDescent="0.2">
      <c r="A522" s="108">
        <f t="shared" ca="1" si="15"/>
        <v>-0.48728980796923044</v>
      </c>
      <c r="B522" s="124">
        <f t="shared" ref="B522:B585" ca="1" si="16">$C$1+A522*$C$2</f>
        <v>2.5420384061539125E-3</v>
      </c>
    </row>
    <row r="523" spans="1:2" x14ac:dyDescent="0.2">
      <c r="A523" s="108">
        <f t="shared" ref="A523:A586" ca="1" si="17">NORMSINV(RAND())</f>
        <v>1.5982799448859288</v>
      </c>
      <c r="B523" s="124">
        <f t="shared" ca="1" si="16"/>
        <v>0.41965598897718581</v>
      </c>
    </row>
    <row r="524" spans="1:2" x14ac:dyDescent="0.2">
      <c r="A524" s="108">
        <f t="shared" ca="1" si="17"/>
        <v>0.36858506966310922</v>
      </c>
      <c r="B524" s="124">
        <f t="shared" ca="1" si="16"/>
        <v>0.17371701393262184</v>
      </c>
    </row>
    <row r="525" spans="1:2" x14ac:dyDescent="0.2">
      <c r="A525" s="108">
        <f t="shared" ca="1" si="17"/>
        <v>-0.25737602820520789</v>
      </c>
      <c r="B525" s="124">
        <f t="shared" ca="1" si="16"/>
        <v>4.8524794358958429E-2</v>
      </c>
    </row>
    <row r="526" spans="1:2" x14ac:dyDescent="0.2">
      <c r="A526" s="108">
        <f t="shared" ca="1" si="17"/>
        <v>-1.2617447222869071</v>
      </c>
      <c r="B526" s="124">
        <f t="shared" ca="1" si="16"/>
        <v>-0.15234894445738142</v>
      </c>
    </row>
    <row r="527" spans="1:2" x14ac:dyDescent="0.2">
      <c r="A527" s="108">
        <f t="shared" ca="1" si="17"/>
        <v>0.73391989817525005</v>
      </c>
      <c r="B527" s="124">
        <f t="shared" ca="1" si="16"/>
        <v>0.24678397963505003</v>
      </c>
    </row>
    <row r="528" spans="1:2" x14ac:dyDescent="0.2">
      <c r="A528" s="108">
        <f t="shared" ca="1" si="17"/>
        <v>-9.6057293813390121E-2</v>
      </c>
      <c r="B528" s="124">
        <f t="shared" ca="1" si="16"/>
        <v>8.0788541237321987E-2</v>
      </c>
    </row>
    <row r="529" spans="1:2" x14ac:dyDescent="0.2">
      <c r="A529" s="108">
        <f t="shared" ca="1" si="17"/>
        <v>-1.1463714104584504</v>
      </c>
      <c r="B529" s="124">
        <f t="shared" ca="1" si="16"/>
        <v>-0.12927428209169009</v>
      </c>
    </row>
    <row r="530" spans="1:2" x14ac:dyDescent="0.2">
      <c r="A530" s="108">
        <f t="shared" ca="1" si="17"/>
        <v>-0.13065389841923911</v>
      </c>
      <c r="B530" s="124">
        <f t="shared" ca="1" si="16"/>
        <v>7.3869220316152187E-2</v>
      </c>
    </row>
    <row r="531" spans="1:2" x14ac:dyDescent="0.2">
      <c r="A531" s="108">
        <f t="shared" ca="1" si="17"/>
        <v>0.72633266200200197</v>
      </c>
      <c r="B531" s="124">
        <f t="shared" ca="1" si="16"/>
        <v>0.24526653240040042</v>
      </c>
    </row>
    <row r="532" spans="1:2" x14ac:dyDescent="0.2">
      <c r="A532" s="108">
        <f t="shared" ca="1" si="17"/>
        <v>-0.51581965360852611</v>
      </c>
      <c r="B532" s="124">
        <f t="shared" ca="1" si="16"/>
        <v>-3.1639307217052187E-3</v>
      </c>
    </row>
    <row r="533" spans="1:2" x14ac:dyDescent="0.2">
      <c r="A533" s="108">
        <f t="shared" ca="1" si="17"/>
        <v>0.34178497406920894</v>
      </c>
      <c r="B533" s="124">
        <f t="shared" ca="1" si="16"/>
        <v>0.16835699481384181</v>
      </c>
    </row>
    <row r="534" spans="1:2" x14ac:dyDescent="0.2">
      <c r="A534" s="108">
        <f t="shared" ca="1" si="17"/>
        <v>-1.6590417492572047</v>
      </c>
      <c r="B534" s="124">
        <f t="shared" ca="1" si="16"/>
        <v>-0.23180834985144097</v>
      </c>
    </row>
    <row r="535" spans="1:2" x14ac:dyDescent="0.2">
      <c r="A535" s="108">
        <f t="shared" ca="1" si="17"/>
        <v>-0.30634903141464426</v>
      </c>
      <c r="B535" s="124">
        <f t="shared" ca="1" si="16"/>
        <v>3.8730193717071149E-2</v>
      </c>
    </row>
    <row r="536" spans="1:2" x14ac:dyDescent="0.2">
      <c r="A536" s="108">
        <f t="shared" ca="1" si="17"/>
        <v>7.1890625017202031E-2</v>
      </c>
      <c r="B536" s="124">
        <f t="shared" ca="1" si="16"/>
        <v>0.11437812500344041</v>
      </c>
    </row>
    <row r="537" spans="1:2" x14ac:dyDescent="0.2">
      <c r="A537" s="108">
        <f t="shared" ca="1" si="17"/>
        <v>0.83621636679267308</v>
      </c>
      <c r="B537" s="124">
        <f t="shared" ca="1" si="16"/>
        <v>0.26724327335853459</v>
      </c>
    </row>
    <row r="538" spans="1:2" x14ac:dyDescent="0.2">
      <c r="A538" s="108">
        <f t="shared" ca="1" si="17"/>
        <v>1.2478963080907852</v>
      </c>
      <c r="B538" s="124">
        <f t="shared" ca="1" si="16"/>
        <v>0.34957926161815706</v>
      </c>
    </row>
    <row r="539" spans="1:2" x14ac:dyDescent="0.2">
      <c r="A539" s="108">
        <f t="shared" ca="1" si="17"/>
        <v>-0.57388174466723318</v>
      </c>
      <c r="B539" s="124">
        <f t="shared" ca="1" si="16"/>
        <v>-1.4776348933446634E-2</v>
      </c>
    </row>
    <row r="540" spans="1:2" x14ac:dyDescent="0.2">
      <c r="A540" s="108">
        <f t="shared" ca="1" si="17"/>
        <v>-0.68354942610646474</v>
      </c>
      <c r="B540" s="124">
        <f t="shared" ca="1" si="16"/>
        <v>-3.6709885221292954E-2</v>
      </c>
    </row>
    <row r="541" spans="1:2" x14ac:dyDescent="0.2">
      <c r="A541" s="108">
        <f t="shared" ca="1" si="17"/>
        <v>0.50576779439810549</v>
      </c>
      <c r="B541" s="124">
        <f t="shared" ca="1" si="16"/>
        <v>0.20115355887962111</v>
      </c>
    </row>
    <row r="542" spans="1:2" x14ac:dyDescent="0.2">
      <c r="A542" s="108">
        <f t="shared" ca="1" si="17"/>
        <v>-1.0655536024234562</v>
      </c>
      <c r="B542" s="124">
        <f t="shared" ca="1" si="16"/>
        <v>-0.11311072048469126</v>
      </c>
    </row>
    <row r="543" spans="1:2" x14ac:dyDescent="0.2">
      <c r="A543" s="108">
        <f t="shared" ca="1" si="17"/>
        <v>1.1168656554370833</v>
      </c>
      <c r="B543" s="124">
        <f t="shared" ca="1" si="16"/>
        <v>0.32337313108741667</v>
      </c>
    </row>
    <row r="544" spans="1:2" x14ac:dyDescent="0.2">
      <c r="A544" s="108">
        <f t="shared" ca="1" si="17"/>
        <v>1.6039294101313222</v>
      </c>
      <c r="B544" s="124">
        <f t="shared" ca="1" si="16"/>
        <v>0.42078588202626444</v>
      </c>
    </row>
    <row r="545" spans="1:2" x14ac:dyDescent="0.2">
      <c r="A545" s="108">
        <f t="shared" ca="1" si="17"/>
        <v>-0.7869382760289223</v>
      </c>
      <c r="B545" s="124">
        <f t="shared" ca="1" si="16"/>
        <v>-5.7387655205784455E-2</v>
      </c>
    </row>
    <row r="546" spans="1:2" x14ac:dyDescent="0.2">
      <c r="A546" s="108">
        <f t="shared" ca="1" si="17"/>
        <v>1.0366783509507698</v>
      </c>
      <c r="B546" s="124">
        <f t="shared" ca="1" si="16"/>
        <v>0.30733567019015395</v>
      </c>
    </row>
    <row r="547" spans="1:2" x14ac:dyDescent="0.2">
      <c r="A547" s="108">
        <f t="shared" ca="1" si="17"/>
        <v>0.90829093630002555</v>
      </c>
      <c r="B547" s="124">
        <f t="shared" ca="1" si="16"/>
        <v>0.28165818726000513</v>
      </c>
    </row>
    <row r="548" spans="1:2" x14ac:dyDescent="0.2">
      <c r="A548" s="108">
        <f t="shared" ca="1" si="17"/>
        <v>0.14396561887451687</v>
      </c>
      <c r="B548" s="124">
        <f t="shared" ca="1" si="16"/>
        <v>0.12879312377490337</v>
      </c>
    </row>
    <row r="549" spans="1:2" x14ac:dyDescent="0.2">
      <c r="A549" s="108">
        <f t="shared" ca="1" si="17"/>
        <v>-1.2343223575507463</v>
      </c>
      <c r="B549" s="124">
        <f t="shared" ca="1" si="16"/>
        <v>-0.14686447151014925</v>
      </c>
    </row>
    <row r="550" spans="1:2" x14ac:dyDescent="0.2">
      <c r="A550" s="108">
        <f t="shared" ca="1" si="17"/>
        <v>0.12251614958574927</v>
      </c>
      <c r="B550" s="124">
        <f t="shared" ca="1" si="16"/>
        <v>0.12450322991714986</v>
      </c>
    </row>
    <row r="551" spans="1:2" x14ac:dyDescent="0.2">
      <c r="A551" s="108">
        <f t="shared" ca="1" si="17"/>
        <v>-1.3093383834843144</v>
      </c>
      <c r="B551" s="124">
        <f t="shared" ca="1" si="16"/>
        <v>-0.16186767669686289</v>
      </c>
    </row>
    <row r="552" spans="1:2" x14ac:dyDescent="0.2">
      <c r="A552" s="108">
        <f t="shared" ca="1" si="17"/>
        <v>0.20130270375980566</v>
      </c>
      <c r="B552" s="124">
        <f t="shared" ca="1" si="16"/>
        <v>0.14026054075196115</v>
      </c>
    </row>
    <row r="553" spans="1:2" x14ac:dyDescent="0.2">
      <c r="A553" s="108">
        <f t="shared" ca="1" si="17"/>
        <v>-0.22940509845974918</v>
      </c>
      <c r="B553" s="124">
        <f t="shared" ca="1" si="16"/>
        <v>5.4118980308050166E-2</v>
      </c>
    </row>
    <row r="554" spans="1:2" x14ac:dyDescent="0.2">
      <c r="A554" s="108">
        <f t="shared" ca="1" si="17"/>
        <v>0.50605664482555279</v>
      </c>
      <c r="B554" s="124">
        <f t="shared" ca="1" si="16"/>
        <v>0.20121132896511057</v>
      </c>
    </row>
    <row r="555" spans="1:2" x14ac:dyDescent="0.2">
      <c r="A555" s="108">
        <f t="shared" ca="1" si="17"/>
        <v>-9.8188773210541799E-2</v>
      </c>
      <c r="B555" s="124">
        <f t="shared" ca="1" si="16"/>
        <v>8.0362245357891646E-2</v>
      </c>
    </row>
    <row r="556" spans="1:2" x14ac:dyDescent="0.2">
      <c r="A556" s="108">
        <f t="shared" ca="1" si="17"/>
        <v>-0.86804544595233779</v>
      </c>
      <c r="B556" s="124">
        <f t="shared" ca="1" si="16"/>
        <v>-7.3609089190467575E-2</v>
      </c>
    </row>
    <row r="557" spans="1:2" x14ac:dyDescent="0.2">
      <c r="A557" s="108">
        <f t="shared" ca="1" si="17"/>
        <v>-0.21154383080170125</v>
      </c>
      <c r="B557" s="124">
        <f t="shared" ca="1" si="16"/>
        <v>5.7691233839659753E-2</v>
      </c>
    </row>
    <row r="558" spans="1:2" x14ac:dyDescent="0.2">
      <c r="A558" s="108">
        <f t="shared" ca="1" si="17"/>
        <v>-0.50449865415687989</v>
      </c>
      <c r="B558" s="124">
        <f t="shared" ca="1" si="16"/>
        <v>-8.9973083137598331E-4</v>
      </c>
    </row>
    <row r="559" spans="1:2" x14ac:dyDescent="0.2">
      <c r="A559" s="108">
        <f t="shared" ca="1" si="17"/>
        <v>-1.3278615390377266E-2</v>
      </c>
      <c r="B559" s="124">
        <f t="shared" ca="1" si="16"/>
        <v>9.7344276921924558E-2</v>
      </c>
    </row>
    <row r="560" spans="1:2" x14ac:dyDescent="0.2">
      <c r="A560" s="108">
        <f t="shared" ca="1" si="17"/>
        <v>-0.8472440540403442</v>
      </c>
      <c r="B560" s="124">
        <f t="shared" ca="1" si="16"/>
        <v>-6.9448810808068834E-2</v>
      </c>
    </row>
    <row r="561" spans="1:2" x14ac:dyDescent="0.2">
      <c r="A561" s="108">
        <f t="shared" ca="1" si="17"/>
        <v>-1.4134440498433629</v>
      </c>
      <c r="B561" s="124">
        <f t="shared" ca="1" si="16"/>
        <v>-0.18268880996867257</v>
      </c>
    </row>
    <row r="562" spans="1:2" x14ac:dyDescent="0.2">
      <c r="A562" s="108">
        <f t="shared" ca="1" si="17"/>
        <v>-0.76869750776419454</v>
      </c>
      <c r="B562" s="124">
        <f t="shared" ca="1" si="16"/>
        <v>-5.3739501552838909E-2</v>
      </c>
    </row>
    <row r="563" spans="1:2" x14ac:dyDescent="0.2">
      <c r="A563" s="108">
        <f t="shared" ca="1" si="17"/>
        <v>1.6839829419889538</v>
      </c>
      <c r="B563" s="124">
        <f t="shared" ca="1" si="16"/>
        <v>0.43679658839779079</v>
      </c>
    </row>
    <row r="564" spans="1:2" x14ac:dyDescent="0.2">
      <c r="A564" s="108">
        <f t="shared" ca="1" si="17"/>
        <v>-1.4124585784252253</v>
      </c>
      <c r="B564" s="124">
        <f t="shared" ca="1" si="16"/>
        <v>-0.18249171568504505</v>
      </c>
    </row>
    <row r="565" spans="1:2" x14ac:dyDescent="0.2">
      <c r="A565" s="108">
        <f t="shared" ca="1" si="17"/>
        <v>0.11967304180674149</v>
      </c>
      <c r="B565" s="124">
        <f t="shared" ca="1" si="16"/>
        <v>0.1239346083613483</v>
      </c>
    </row>
    <row r="566" spans="1:2" x14ac:dyDescent="0.2">
      <c r="A566" s="108">
        <f t="shared" ca="1" si="17"/>
        <v>0.37926749511021163</v>
      </c>
      <c r="B566" s="124">
        <f t="shared" ca="1" si="16"/>
        <v>0.17585349902204234</v>
      </c>
    </row>
    <row r="567" spans="1:2" x14ac:dyDescent="0.2">
      <c r="A567" s="108">
        <f t="shared" ca="1" si="17"/>
        <v>5.4721361933525664E-4</v>
      </c>
      <c r="B567" s="124">
        <f t="shared" ca="1" si="16"/>
        <v>0.10010944272386706</v>
      </c>
    </row>
    <row r="568" spans="1:2" x14ac:dyDescent="0.2">
      <c r="A568" s="108">
        <f t="shared" ca="1" si="17"/>
        <v>1.081727960243378</v>
      </c>
      <c r="B568" s="124">
        <f t="shared" ca="1" si="16"/>
        <v>0.31634559204867563</v>
      </c>
    </row>
    <row r="569" spans="1:2" x14ac:dyDescent="0.2">
      <c r="A569" s="108">
        <f t="shared" ca="1" si="17"/>
        <v>-5.2998142180438843E-2</v>
      </c>
      <c r="B569" s="124">
        <f t="shared" ca="1" si="16"/>
        <v>8.9400371563912229E-2</v>
      </c>
    </row>
    <row r="570" spans="1:2" x14ac:dyDescent="0.2">
      <c r="A570" s="108">
        <f t="shared" ca="1" si="17"/>
        <v>0.77834549412435017</v>
      </c>
      <c r="B570" s="124">
        <f t="shared" ca="1" si="16"/>
        <v>0.25566909882487004</v>
      </c>
    </row>
    <row r="571" spans="1:2" x14ac:dyDescent="0.2">
      <c r="A571" s="108">
        <f t="shared" ca="1" si="17"/>
        <v>4.1737570924100541E-2</v>
      </c>
      <c r="B571" s="124">
        <f t="shared" ca="1" si="16"/>
        <v>0.10834751418482011</v>
      </c>
    </row>
    <row r="572" spans="1:2" x14ac:dyDescent="0.2">
      <c r="A572" s="108">
        <f t="shared" ca="1" si="17"/>
        <v>-0.32414824285219157</v>
      </c>
      <c r="B572" s="124">
        <f t="shared" ca="1" si="16"/>
        <v>3.5170351429561694E-2</v>
      </c>
    </row>
    <row r="573" spans="1:2" x14ac:dyDescent="0.2">
      <c r="A573" s="108">
        <f t="shared" ca="1" si="17"/>
        <v>1.1563172587295483</v>
      </c>
      <c r="B573" s="124">
        <f t="shared" ca="1" si="16"/>
        <v>0.33126345174590965</v>
      </c>
    </row>
    <row r="574" spans="1:2" x14ac:dyDescent="0.2">
      <c r="A574" s="108">
        <f t="shared" ca="1" si="17"/>
        <v>1.9510146691952435E-2</v>
      </c>
      <c r="B574" s="124">
        <f t="shared" ca="1" si="16"/>
        <v>0.10390202933839049</v>
      </c>
    </row>
    <row r="575" spans="1:2" x14ac:dyDescent="0.2">
      <c r="A575" s="108">
        <f t="shared" ca="1" si="17"/>
        <v>-8.0238355377618337E-2</v>
      </c>
      <c r="B575" s="124">
        <f t="shared" ca="1" si="16"/>
        <v>8.3952328924476335E-2</v>
      </c>
    </row>
    <row r="576" spans="1:2" x14ac:dyDescent="0.2">
      <c r="A576" s="108">
        <f t="shared" ca="1" si="17"/>
        <v>-0.17438043011020712</v>
      </c>
      <c r="B576" s="124">
        <f t="shared" ca="1" si="16"/>
        <v>6.5123913977958581E-2</v>
      </c>
    </row>
    <row r="577" spans="1:2" x14ac:dyDescent="0.2">
      <c r="A577" s="108">
        <f t="shared" ca="1" si="17"/>
        <v>-0.12895574655804559</v>
      </c>
      <c r="B577" s="124">
        <f t="shared" ca="1" si="16"/>
        <v>7.4208850688390893E-2</v>
      </c>
    </row>
    <row r="578" spans="1:2" x14ac:dyDescent="0.2">
      <c r="A578" s="108">
        <f t="shared" ca="1" si="17"/>
        <v>0.39114904761098968</v>
      </c>
      <c r="B578" s="124">
        <f t="shared" ca="1" si="16"/>
        <v>0.17822980952219794</v>
      </c>
    </row>
    <row r="579" spans="1:2" x14ac:dyDescent="0.2">
      <c r="A579" s="108">
        <f t="shared" ca="1" si="17"/>
        <v>-9.0077157299309291E-2</v>
      </c>
      <c r="B579" s="124">
        <f t="shared" ca="1" si="16"/>
        <v>8.198456854013815E-2</v>
      </c>
    </row>
    <row r="580" spans="1:2" x14ac:dyDescent="0.2">
      <c r="A580" s="108">
        <f t="shared" ca="1" si="17"/>
        <v>-0.151932231486339</v>
      </c>
      <c r="B580" s="124">
        <f t="shared" ca="1" si="16"/>
        <v>6.96135537027322E-2</v>
      </c>
    </row>
    <row r="581" spans="1:2" x14ac:dyDescent="0.2">
      <c r="A581" s="108">
        <f t="shared" ca="1" si="17"/>
        <v>-1.3275794688560751</v>
      </c>
      <c r="B581" s="124">
        <f t="shared" ca="1" si="16"/>
        <v>-0.16551589377121503</v>
      </c>
    </row>
    <row r="582" spans="1:2" x14ac:dyDescent="0.2">
      <c r="A582" s="108">
        <f t="shared" ca="1" si="17"/>
        <v>-1.1888510329951223</v>
      </c>
      <c r="B582" s="124">
        <f t="shared" ca="1" si="16"/>
        <v>-0.13777020659902448</v>
      </c>
    </row>
    <row r="583" spans="1:2" x14ac:dyDescent="0.2">
      <c r="A583" s="108">
        <f t="shared" ca="1" si="17"/>
        <v>-1.3259690013204724</v>
      </c>
      <c r="B583" s="124">
        <f t="shared" ca="1" si="16"/>
        <v>-0.1651938002640945</v>
      </c>
    </row>
    <row r="584" spans="1:2" x14ac:dyDescent="0.2">
      <c r="A584" s="108">
        <f t="shared" ca="1" si="17"/>
        <v>-5.2823270341806096E-2</v>
      </c>
      <c r="B584" s="124">
        <f t="shared" ca="1" si="16"/>
        <v>8.9435345931638793E-2</v>
      </c>
    </row>
    <row r="585" spans="1:2" x14ac:dyDescent="0.2">
      <c r="A585" s="108">
        <f t="shared" ca="1" si="17"/>
        <v>-1.1252235775705894</v>
      </c>
      <c r="B585" s="124">
        <f t="shared" ca="1" si="16"/>
        <v>-0.12504471551411789</v>
      </c>
    </row>
    <row r="586" spans="1:2" x14ac:dyDescent="0.2">
      <c r="A586" s="108">
        <f t="shared" ca="1" si="17"/>
        <v>-1.270375682960541</v>
      </c>
      <c r="B586" s="124">
        <f t="shared" ref="B586:B649" ca="1" si="18">$C$1+A586*$C$2</f>
        <v>-0.15407513659210822</v>
      </c>
    </row>
    <row r="587" spans="1:2" x14ac:dyDescent="0.2">
      <c r="A587" s="108">
        <f t="shared" ref="A587:A650" ca="1" si="19">NORMSINV(RAND())</f>
        <v>1.5356918827817376</v>
      </c>
      <c r="B587" s="124">
        <f t="shared" ca="1" si="18"/>
        <v>0.40713837655634755</v>
      </c>
    </row>
    <row r="588" spans="1:2" x14ac:dyDescent="0.2">
      <c r="A588" s="108">
        <f t="shared" ca="1" si="19"/>
        <v>-0.14924346353896986</v>
      </c>
      <c r="B588" s="124">
        <f t="shared" ca="1" si="18"/>
        <v>7.0151307292206033E-2</v>
      </c>
    </row>
    <row r="589" spans="1:2" x14ac:dyDescent="0.2">
      <c r="A589" s="108">
        <f t="shared" ca="1" si="19"/>
        <v>1.1854875345125175</v>
      </c>
      <c r="B589" s="124">
        <f t="shared" ca="1" si="18"/>
        <v>0.33709750690250351</v>
      </c>
    </row>
    <row r="590" spans="1:2" x14ac:dyDescent="0.2">
      <c r="A590" s="108">
        <f t="shared" ca="1" si="19"/>
        <v>3.8087770895369522E-3</v>
      </c>
      <c r="B590" s="124">
        <f t="shared" ca="1" si="18"/>
        <v>0.1007617554179074</v>
      </c>
    </row>
    <row r="591" spans="1:2" x14ac:dyDescent="0.2">
      <c r="A591" s="108">
        <f t="shared" ca="1" si="19"/>
        <v>-0.41455946440603003</v>
      </c>
      <c r="B591" s="124">
        <f t="shared" ca="1" si="18"/>
        <v>1.7088107118793994E-2</v>
      </c>
    </row>
    <row r="592" spans="1:2" x14ac:dyDescent="0.2">
      <c r="A592" s="108">
        <f t="shared" ca="1" si="19"/>
        <v>0.4745754063379406</v>
      </c>
      <c r="B592" s="124">
        <f t="shared" ca="1" si="18"/>
        <v>0.19491508126758814</v>
      </c>
    </row>
    <row r="593" spans="1:2" x14ac:dyDescent="0.2">
      <c r="A593" s="108">
        <f t="shared" ca="1" si="19"/>
        <v>-1.1616543094644147</v>
      </c>
      <c r="B593" s="124">
        <f t="shared" ca="1" si="18"/>
        <v>-0.13233086189288296</v>
      </c>
    </row>
    <row r="594" spans="1:2" x14ac:dyDescent="0.2">
      <c r="A594" s="108">
        <f t="shared" ca="1" si="19"/>
        <v>0.55102755190025177</v>
      </c>
      <c r="B594" s="124">
        <f t="shared" ca="1" si="18"/>
        <v>0.21020551038005036</v>
      </c>
    </row>
    <row r="595" spans="1:2" x14ac:dyDescent="0.2">
      <c r="A595" s="108">
        <f t="shared" ca="1" si="19"/>
        <v>0.35430200906352827</v>
      </c>
      <c r="B595" s="124">
        <f t="shared" ca="1" si="18"/>
        <v>0.17086040181270568</v>
      </c>
    </row>
    <row r="596" spans="1:2" x14ac:dyDescent="0.2">
      <c r="A596" s="108">
        <f t="shared" ca="1" si="19"/>
        <v>1.4853033335817691</v>
      </c>
      <c r="B596" s="124">
        <f t="shared" ca="1" si="18"/>
        <v>0.39706066671635387</v>
      </c>
    </row>
    <row r="597" spans="1:2" x14ac:dyDescent="0.2">
      <c r="A597" s="108">
        <f t="shared" ca="1" si="19"/>
        <v>-1.9436625040529506E-2</v>
      </c>
      <c r="B597" s="124">
        <f t="shared" ca="1" si="18"/>
        <v>9.6112674991894104E-2</v>
      </c>
    </row>
    <row r="598" spans="1:2" x14ac:dyDescent="0.2">
      <c r="A598" s="108">
        <f t="shared" ca="1" si="19"/>
        <v>-1.0283232586674046E-2</v>
      </c>
      <c r="B598" s="124">
        <f t="shared" ca="1" si="18"/>
        <v>9.7943353482665196E-2</v>
      </c>
    </row>
    <row r="599" spans="1:2" x14ac:dyDescent="0.2">
      <c r="A599" s="108">
        <f t="shared" ca="1" si="19"/>
        <v>-1.8340173921205176</v>
      </c>
      <c r="B599" s="124">
        <f t="shared" ca="1" si="18"/>
        <v>-0.26680347842410357</v>
      </c>
    </row>
    <row r="600" spans="1:2" x14ac:dyDescent="0.2">
      <c r="A600" s="108">
        <f t="shared" ca="1" si="19"/>
        <v>1.5891749042922398</v>
      </c>
      <c r="B600" s="124">
        <f t="shared" ca="1" si="18"/>
        <v>0.41783498085844795</v>
      </c>
    </row>
    <row r="601" spans="1:2" x14ac:dyDescent="0.2">
      <c r="A601" s="108">
        <f t="shared" ca="1" si="19"/>
        <v>0.21496044635306766</v>
      </c>
      <c r="B601" s="124">
        <f t="shared" ca="1" si="18"/>
        <v>0.14299208927061355</v>
      </c>
    </row>
    <row r="602" spans="1:2" x14ac:dyDescent="0.2">
      <c r="A602" s="108">
        <f t="shared" ca="1" si="19"/>
        <v>0.38402239056942422</v>
      </c>
      <c r="B602" s="124">
        <f t="shared" ca="1" si="18"/>
        <v>0.17680447811388486</v>
      </c>
    </row>
    <row r="603" spans="1:2" x14ac:dyDescent="0.2">
      <c r="A603" s="108">
        <f t="shared" ca="1" si="19"/>
        <v>-0.93968968283763143</v>
      </c>
      <c r="B603" s="124">
        <f t="shared" ca="1" si="18"/>
        <v>-8.7937936567526298E-2</v>
      </c>
    </row>
    <row r="604" spans="1:2" x14ac:dyDescent="0.2">
      <c r="A604" s="108">
        <f t="shared" ca="1" si="19"/>
        <v>-1.4794739206022036</v>
      </c>
      <c r="B604" s="124">
        <f t="shared" ca="1" si="18"/>
        <v>-0.19589478412044073</v>
      </c>
    </row>
    <row r="605" spans="1:2" x14ac:dyDescent="0.2">
      <c r="A605" s="108">
        <f t="shared" ca="1" si="19"/>
        <v>-4.1101913291811273E-2</v>
      </c>
      <c r="B605" s="124">
        <f t="shared" ca="1" si="18"/>
        <v>9.1779617341637754E-2</v>
      </c>
    </row>
    <row r="606" spans="1:2" x14ac:dyDescent="0.2">
      <c r="A606" s="108">
        <f t="shared" ca="1" si="19"/>
        <v>-0.69914649719453148</v>
      </c>
      <c r="B606" s="124">
        <f t="shared" ca="1" si="18"/>
        <v>-3.9829299438906285E-2</v>
      </c>
    </row>
    <row r="607" spans="1:2" x14ac:dyDescent="0.2">
      <c r="A607" s="108">
        <f t="shared" ca="1" si="19"/>
        <v>-0.20028809724387173</v>
      </c>
      <c r="B607" s="124">
        <f t="shared" ca="1" si="18"/>
        <v>5.9942380551225659E-2</v>
      </c>
    </row>
    <row r="608" spans="1:2" x14ac:dyDescent="0.2">
      <c r="A608" s="108">
        <f t="shared" ca="1" si="19"/>
        <v>-0.30715743221838004</v>
      </c>
      <c r="B608" s="124">
        <f t="shared" ca="1" si="18"/>
        <v>3.8568513556323993E-2</v>
      </c>
    </row>
    <row r="609" spans="1:2" x14ac:dyDescent="0.2">
      <c r="A609" s="108">
        <f t="shared" ca="1" si="19"/>
        <v>-0.78093591015799357</v>
      </c>
      <c r="B609" s="124">
        <f t="shared" ca="1" si="18"/>
        <v>-5.6187182031598726E-2</v>
      </c>
    </row>
    <row r="610" spans="1:2" x14ac:dyDescent="0.2">
      <c r="A610" s="108">
        <f t="shared" ca="1" si="19"/>
        <v>0.38188067431638789</v>
      </c>
      <c r="B610" s="124">
        <f t="shared" ca="1" si="18"/>
        <v>0.17637613486327758</v>
      </c>
    </row>
    <row r="611" spans="1:2" x14ac:dyDescent="0.2">
      <c r="A611" s="108">
        <f t="shared" ca="1" si="19"/>
        <v>-1.2560140685601164</v>
      </c>
      <c r="B611" s="124">
        <f t="shared" ca="1" si="18"/>
        <v>-0.15120281371202329</v>
      </c>
    </row>
    <row r="612" spans="1:2" x14ac:dyDescent="0.2">
      <c r="A612" s="108">
        <f t="shared" ca="1" si="19"/>
        <v>-1.6086818986591591</v>
      </c>
      <c r="B612" s="124">
        <f t="shared" ca="1" si="18"/>
        <v>-0.22173637973183183</v>
      </c>
    </row>
    <row r="613" spans="1:2" x14ac:dyDescent="0.2">
      <c r="A613" s="108">
        <f t="shared" ca="1" si="19"/>
        <v>2.2744792885002538</v>
      </c>
      <c r="B613" s="124">
        <f t="shared" ca="1" si="18"/>
        <v>0.55489585770005079</v>
      </c>
    </row>
    <row r="614" spans="1:2" x14ac:dyDescent="0.2">
      <c r="A614" s="108">
        <f t="shared" ca="1" si="19"/>
        <v>-0.49722659836404448</v>
      </c>
      <c r="B614" s="124">
        <f t="shared" ca="1" si="18"/>
        <v>5.5468032719110938E-4</v>
      </c>
    </row>
    <row r="615" spans="1:2" x14ac:dyDescent="0.2">
      <c r="A615" s="108">
        <f t="shared" ca="1" si="19"/>
        <v>1.0694796032412119</v>
      </c>
      <c r="B615" s="124">
        <f t="shared" ca="1" si="18"/>
        <v>0.3138959206482424</v>
      </c>
    </row>
    <row r="616" spans="1:2" x14ac:dyDescent="0.2">
      <c r="A616" s="108">
        <f t="shared" ca="1" si="19"/>
        <v>0.57557226833854991</v>
      </c>
      <c r="B616" s="124">
        <f t="shared" ca="1" si="18"/>
        <v>0.21511445366770998</v>
      </c>
    </row>
    <row r="617" spans="1:2" x14ac:dyDescent="0.2">
      <c r="A617" s="108">
        <f t="shared" ca="1" si="19"/>
        <v>-0.86432998138726769</v>
      </c>
      <c r="B617" s="124">
        <f t="shared" ca="1" si="18"/>
        <v>-7.2865996277453549E-2</v>
      </c>
    </row>
    <row r="618" spans="1:2" x14ac:dyDescent="0.2">
      <c r="A618" s="108">
        <f t="shared" ca="1" si="19"/>
        <v>-1.9618444343997543</v>
      </c>
      <c r="B618" s="124">
        <f t="shared" ca="1" si="18"/>
        <v>-0.29236888687995088</v>
      </c>
    </row>
    <row r="619" spans="1:2" x14ac:dyDescent="0.2">
      <c r="A619" s="108">
        <f t="shared" ca="1" si="19"/>
        <v>2.0911966468865772</v>
      </c>
      <c r="B619" s="124">
        <f t="shared" ca="1" si="18"/>
        <v>0.51823932937731543</v>
      </c>
    </row>
    <row r="620" spans="1:2" x14ac:dyDescent="0.2">
      <c r="A620" s="108">
        <f t="shared" ca="1" si="19"/>
        <v>0.13053232042501059</v>
      </c>
      <c r="B620" s="124">
        <f t="shared" ca="1" si="18"/>
        <v>0.12610646408500212</v>
      </c>
    </row>
    <row r="621" spans="1:2" x14ac:dyDescent="0.2">
      <c r="A621" s="108">
        <f t="shared" ca="1" si="19"/>
        <v>0.34217818451923659</v>
      </c>
      <c r="B621" s="124">
        <f t="shared" ca="1" si="18"/>
        <v>0.16843563690384733</v>
      </c>
    </row>
    <row r="622" spans="1:2" x14ac:dyDescent="0.2">
      <c r="A622" s="108">
        <f t="shared" ca="1" si="19"/>
        <v>-1.3597314765097885</v>
      </c>
      <c r="B622" s="124">
        <f t="shared" ca="1" si="18"/>
        <v>-0.17194629530195774</v>
      </c>
    </row>
    <row r="623" spans="1:2" x14ac:dyDescent="0.2">
      <c r="A623" s="108">
        <f t="shared" ca="1" si="19"/>
        <v>0.81352718855182038</v>
      </c>
      <c r="B623" s="124">
        <f t="shared" ca="1" si="18"/>
        <v>0.26270543771036409</v>
      </c>
    </row>
    <row r="624" spans="1:2" x14ac:dyDescent="0.2">
      <c r="A624" s="108">
        <f t="shared" ca="1" si="19"/>
        <v>1.1067686990172254</v>
      </c>
      <c r="B624" s="124">
        <f t="shared" ca="1" si="18"/>
        <v>0.32135373980344506</v>
      </c>
    </row>
    <row r="625" spans="1:2" x14ac:dyDescent="0.2">
      <c r="A625" s="108">
        <f t="shared" ca="1" si="19"/>
        <v>-1.5681088175358548</v>
      </c>
      <c r="B625" s="124">
        <f t="shared" ca="1" si="18"/>
        <v>-0.21362176350717096</v>
      </c>
    </row>
    <row r="626" spans="1:2" x14ac:dyDescent="0.2">
      <c r="A626" s="108">
        <f t="shared" ca="1" si="19"/>
        <v>0.94037426212103159</v>
      </c>
      <c r="B626" s="124">
        <f t="shared" ca="1" si="18"/>
        <v>0.28807485242420633</v>
      </c>
    </row>
    <row r="627" spans="1:2" x14ac:dyDescent="0.2">
      <c r="A627" s="108">
        <f t="shared" ca="1" si="19"/>
        <v>-0.84273328857469387</v>
      </c>
      <c r="B627" s="124">
        <f t="shared" ca="1" si="18"/>
        <v>-6.8546657714938786E-2</v>
      </c>
    </row>
    <row r="628" spans="1:2" x14ac:dyDescent="0.2">
      <c r="A628" s="108">
        <f t="shared" ca="1" si="19"/>
        <v>0.63929171777121507</v>
      </c>
      <c r="B628" s="124">
        <f t="shared" ca="1" si="18"/>
        <v>0.22785834355424303</v>
      </c>
    </row>
    <row r="629" spans="1:2" x14ac:dyDescent="0.2">
      <c r="A629" s="108">
        <f t="shared" ca="1" si="19"/>
        <v>2.2140788587763276</v>
      </c>
      <c r="B629" s="124">
        <f t="shared" ca="1" si="18"/>
        <v>0.54281577175526552</v>
      </c>
    </row>
    <row r="630" spans="1:2" x14ac:dyDescent="0.2">
      <c r="A630" s="108">
        <f t="shared" ca="1" si="19"/>
        <v>-0.37408154332329685</v>
      </c>
      <c r="B630" s="124">
        <f t="shared" ca="1" si="18"/>
        <v>2.5183691335340638E-2</v>
      </c>
    </row>
    <row r="631" spans="1:2" x14ac:dyDescent="0.2">
      <c r="A631" s="108">
        <f t="shared" ca="1" si="19"/>
        <v>-0.41647148204563905</v>
      </c>
      <c r="B631" s="124">
        <f t="shared" ca="1" si="18"/>
        <v>1.6705703590872187E-2</v>
      </c>
    </row>
    <row r="632" spans="1:2" x14ac:dyDescent="0.2">
      <c r="A632" s="108">
        <f t="shared" ca="1" si="19"/>
        <v>1.1071820504825953</v>
      </c>
      <c r="B632" s="124">
        <f t="shared" ca="1" si="18"/>
        <v>0.32143641009651908</v>
      </c>
    </row>
    <row r="633" spans="1:2" x14ac:dyDescent="0.2">
      <c r="A633" s="108">
        <f t="shared" ca="1" si="19"/>
        <v>-1.0881791081206482</v>
      </c>
      <c r="B633" s="124">
        <f t="shared" ca="1" si="18"/>
        <v>-0.11763582162412964</v>
      </c>
    </row>
    <row r="634" spans="1:2" x14ac:dyDescent="0.2">
      <c r="A634" s="108">
        <f t="shared" ca="1" si="19"/>
        <v>0.89072433666754436</v>
      </c>
      <c r="B634" s="124">
        <f t="shared" ca="1" si="18"/>
        <v>0.27814486733350885</v>
      </c>
    </row>
    <row r="635" spans="1:2" x14ac:dyDescent="0.2">
      <c r="A635" s="108">
        <f t="shared" ca="1" si="19"/>
        <v>1.0009779282843665</v>
      </c>
      <c r="B635" s="124">
        <f t="shared" ca="1" si="18"/>
        <v>0.30019558565687332</v>
      </c>
    </row>
    <row r="636" spans="1:2" x14ac:dyDescent="0.2">
      <c r="A636" s="108">
        <f t="shared" ca="1" si="19"/>
        <v>1.0671659567375225</v>
      </c>
      <c r="B636" s="124">
        <f t="shared" ca="1" si="18"/>
        <v>0.31343319134750447</v>
      </c>
    </row>
    <row r="637" spans="1:2" x14ac:dyDescent="0.2">
      <c r="A637" s="108">
        <f t="shared" ca="1" si="19"/>
        <v>0.84805898372340549</v>
      </c>
      <c r="B637" s="124">
        <f t="shared" ca="1" si="18"/>
        <v>0.26961179674468111</v>
      </c>
    </row>
    <row r="638" spans="1:2" x14ac:dyDescent="0.2">
      <c r="A638" s="108">
        <f t="shared" ca="1" si="19"/>
        <v>-0.77186118915831425</v>
      </c>
      <c r="B638" s="124">
        <f t="shared" ca="1" si="18"/>
        <v>-5.4372237831662867E-2</v>
      </c>
    </row>
    <row r="639" spans="1:2" x14ac:dyDescent="0.2">
      <c r="A639" s="108">
        <f t="shared" ca="1" si="19"/>
        <v>0.49443468884974168</v>
      </c>
      <c r="B639" s="124">
        <f t="shared" ca="1" si="18"/>
        <v>0.19888693776994834</v>
      </c>
    </row>
    <row r="640" spans="1:2" x14ac:dyDescent="0.2">
      <c r="A640" s="108">
        <f t="shared" ca="1" si="19"/>
        <v>0.12534346652669459</v>
      </c>
      <c r="B640" s="124">
        <f t="shared" ca="1" si="18"/>
        <v>0.12506869330533893</v>
      </c>
    </row>
    <row r="641" spans="1:2" x14ac:dyDescent="0.2">
      <c r="A641" s="108">
        <f t="shared" ca="1" si="19"/>
        <v>-3.864002631468956E-2</v>
      </c>
      <c r="B641" s="124">
        <f t="shared" ca="1" si="18"/>
        <v>9.2271994737062088E-2</v>
      </c>
    </row>
    <row r="642" spans="1:2" x14ac:dyDescent="0.2">
      <c r="A642" s="108">
        <f t="shared" ca="1" si="19"/>
        <v>-0.52878199736776166</v>
      </c>
      <c r="B642" s="124">
        <f t="shared" ca="1" si="18"/>
        <v>-5.7563994735523316E-3</v>
      </c>
    </row>
    <row r="643" spans="1:2" x14ac:dyDescent="0.2">
      <c r="A643" s="108">
        <f t="shared" ca="1" si="19"/>
        <v>-2.0109307670032175E-2</v>
      </c>
      <c r="B643" s="124">
        <f t="shared" ca="1" si="18"/>
        <v>9.5978138465993568E-2</v>
      </c>
    </row>
    <row r="644" spans="1:2" x14ac:dyDescent="0.2">
      <c r="A644" s="108">
        <f t="shared" ca="1" si="19"/>
        <v>-0.46290728968130385</v>
      </c>
      <c r="B644" s="124">
        <f t="shared" ca="1" si="18"/>
        <v>7.4185420637392363E-3</v>
      </c>
    </row>
    <row r="645" spans="1:2" x14ac:dyDescent="0.2">
      <c r="A645" s="108">
        <f t="shared" ca="1" si="19"/>
        <v>-0.68169751400757339</v>
      </c>
      <c r="B645" s="124">
        <f t="shared" ca="1" si="18"/>
        <v>-3.6339502801514684E-2</v>
      </c>
    </row>
    <row r="646" spans="1:2" x14ac:dyDescent="0.2">
      <c r="A646" s="108">
        <f t="shared" ca="1" si="19"/>
        <v>2.0587378581010149E-3</v>
      </c>
      <c r="B646" s="124">
        <f t="shared" ca="1" si="18"/>
        <v>0.10041174757162021</v>
      </c>
    </row>
    <row r="647" spans="1:2" x14ac:dyDescent="0.2">
      <c r="A647" s="108">
        <f t="shared" ca="1" si="19"/>
        <v>-1.2468174638073983</v>
      </c>
      <c r="B647" s="124">
        <f t="shared" ca="1" si="18"/>
        <v>-0.14936349276147967</v>
      </c>
    </row>
    <row r="648" spans="1:2" x14ac:dyDescent="0.2">
      <c r="A648" s="108">
        <f t="shared" ca="1" si="19"/>
        <v>0.17486728552947106</v>
      </c>
      <c r="B648" s="124">
        <f t="shared" ca="1" si="18"/>
        <v>0.13497345710589423</v>
      </c>
    </row>
    <row r="649" spans="1:2" x14ac:dyDescent="0.2">
      <c r="A649" s="108">
        <f t="shared" ca="1" si="19"/>
        <v>-2.7184070051270646</v>
      </c>
      <c r="B649" s="124">
        <f t="shared" ca="1" si="18"/>
        <v>-0.44368140102541298</v>
      </c>
    </row>
    <row r="650" spans="1:2" x14ac:dyDescent="0.2">
      <c r="A650" s="108">
        <f t="shared" ca="1" si="19"/>
        <v>1.9552108966966693</v>
      </c>
      <c r="B650" s="124">
        <f t="shared" ref="B650:B713" ca="1" si="20">$C$1+A650*$C$2</f>
        <v>0.49104217933933392</v>
      </c>
    </row>
    <row r="651" spans="1:2" x14ac:dyDescent="0.2">
      <c r="A651" s="108">
        <f t="shared" ref="A651:A714" ca="1" si="21">NORMSINV(RAND())</f>
        <v>5.2994948111980737E-2</v>
      </c>
      <c r="B651" s="124">
        <f t="shared" ca="1" si="20"/>
        <v>0.11059898962239616</v>
      </c>
    </row>
    <row r="652" spans="1:2" x14ac:dyDescent="0.2">
      <c r="A652" s="108">
        <f t="shared" ca="1" si="21"/>
        <v>-1.3094300395475509</v>
      </c>
      <c r="B652" s="124">
        <f t="shared" ca="1" si="20"/>
        <v>-0.16188600790951016</v>
      </c>
    </row>
    <row r="653" spans="1:2" x14ac:dyDescent="0.2">
      <c r="A653" s="108">
        <f t="shared" ca="1" si="21"/>
        <v>-1.5896824327436903</v>
      </c>
      <c r="B653" s="124">
        <f t="shared" ca="1" si="20"/>
        <v>-0.21793648654873807</v>
      </c>
    </row>
    <row r="654" spans="1:2" x14ac:dyDescent="0.2">
      <c r="A654" s="108">
        <f t="shared" ca="1" si="21"/>
        <v>-1.177398332630242</v>
      </c>
      <c r="B654" s="124">
        <f t="shared" ca="1" si="20"/>
        <v>-0.1354796665260484</v>
      </c>
    </row>
    <row r="655" spans="1:2" x14ac:dyDescent="0.2">
      <c r="A655" s="108">
        <f t="shared" ca="1" si="21"/>
        <v>-1.8035798515773711</v>
      </c>
      <c r="B655" s="124">
        <f t="shared" ca="1" si="20"/>
        <v>-0.26071597031547422</v>
      </c>
    </row>
    <row r="656" spans="1:2" x14ac:dyDescent="0.2">
      <c r="A656" s="108">
        <f t="shared" ca="1" si="21"/>
        <v>-0.46337427160013051</v>
      </c>
      <c r="B656" s="124">
        <f t="shared" ca="1" si="20"/>
        <v>7.3251456799739018E-3</v>
      </c>
    </row>
    <row r="657" spans="1:2" x14ac:dyDescent="0.2">
      <c r="A657" s="108">
        <f t="shared" ca="1" si="21"/>
        <v>0.55490107189992655</v>
      </c>
      <c r="B657" s="124">
        <f t="shared" ca="1" si="20"/>
        <v>0.21098021437998532</v>
      </c>
    </row>
    <row r="658" spans="1:2" x14ac:dyDescent="0.2">
      <c r="A658" s="108">
        <f t="shared" ca="1" si="21"/>
        <v>0.79369893630597099</v>
      </c>
      <c r="B658" s="124">
        <f t="shared" ca="1" si="20"/>
        <v>0.25873978726119418</v>
      </c>
    </row>
    <row r="659" spans="1:2" x14ac:dyDescent="0.2">
      <c r="A659" s="108">
        <f t="shared" ca="1" si="21"/>
        <v>0.96858915518148803</v>
      </c>
      <c r="B659" s="124">
        <f t="shared" ca="1" si="20"/>
        <v>0.29371783103629762</v>
      </c>
    </row>
    <row r="660" spans="1:2" x14ac:dyDescent="0.2">
      <c r="A660" s="108">
        <f t="shared" ca="1" si="21"/>
        <v>-1.2549854765220927</v>
      </c>
      <c r="B660" s="124">
        <f t="shared" ca="1" si="20"/>
        <v>-0.15099709530441854</v>
      </c>
    </row>
    <row r="661" spans="1:2" x14ac:dyDescent="0.2">
      <c r="A661" s="108">
        <f t="shared" ca="1" si="21"/>
        <v>0.68962789194891572</v>
      </c>
      <c r="B661" s="124">
        <f t="shared" ca="1" si="20"/>
        <v>0.23792557838978315</v>
      </c>
    </row>
    <row r="662" spans="1:2" x14ac:dyDescent="0.2">
      <c r="A662" s="108">
        <f t="shared" ca="1" si="21"/>
        <v>-0.23366149596584859</v>
      </c>
      <c r="B662" s="124">
        <f t="shared" ca="1" si="20"/>
        <v>5.3267700806830284E-2</v>
      </c>
    </row>
    <row r="663" spans="1:2" x14ac:dyDescent="0.2">
      <c r="A663" s="108">
        <f t="shared" ca="1" si="21"/>
        <v>-1.3218767308432693</v>
      </c>
      <c r="B663" s="124">
        <f t="shared" ca="1" si="20"/>
        <v>-0.16437534616865387</v>
      </c>
    </row>
    <row r="664" spans="1:2" x14ac:dyDescent="0.2">
      <c r="A664" s="108">
        <f t="shared" ca="1" si="21"/>
        <v>-0.52774755540375573</v>
      </c>
      <c r="B664" s="124">
        <f t="shared" ca="1" si="20"/>
        <v>-5.5495110807511489E-3</v>
      </c>
    </row>
    <row r="665" spans="1:2" x14ac:dyDescent="0.2">
      <c r="A665" s="108">
        <f t="shared" ca="1" si="21"/>
        <v>-1.5830334160378901</v>
      </c>
      <c r="B665" s="124">
        <f t="shared" ca="1" si="20"/>
        <v>-0.216606683207578</v>
      </c>
    </row>
    <row r="666" spans="1:2" x14ac:dyDescent="0.2">
      <c r="A666" s="108">
        <f t="shared" ca="1" si="21"/>
        <v>0.7491845553463613</v>
      </c>
      <c r="B666" s="124">
        <f t="shared" ca="1" si="20"/>
        <v>0.24983691106927228</v>
      </c>
    </row>
    <row r="667" spans="1:2" x14ac:dyDescent="0.2">
      <c r="A667" s="108">
        <f t="shared" ca="1" si="21"/>
        <v>-0.6472346157355261</v>
      </c>
      <c r="B667" s="124">
        <f t="shared" ca="1" si="20"/>
        <v>-2.9446923147105231E-2</v>
      </c>
    </row>
    <row r="668" spans="1:2" x14ac:dyDescent="0.2">
      <c r="A668" s="108">
        <f t="shared" ca="1" si="21"/>
        <v>-0.83582970629919329</v>
      </c>
      <c r="B668" s="124">
        <f t="shared" ca="1" si="20"/>
        <v>-6.7165941259838657E-2</v>
      </c>
    </row>
    <row r="669" spans="1:2" x14ac:dyDescent="0.2">
      <c r="A669" s="108">
        <f t="shared" ca="1" si="21"/>
        <v>-9.9715344341114898E-2</v>
      </c>
      <c r="B669" s="124">
        <f t="shared" ca="1" si="20"/>
        <v>8.0056931131777032E-2</v>
      </c>
    </row>
    <row r="670" spans="1:2" x14ac:dyDescent="0.2">
      <c r="A670" s="108">
        <f t="shared" ca="1" si="21"/>
        <v>0.74460332789395356</v>
      </c>
      <c r="B670" s="124">
        <f t="shared" ca="1" si="20"/>
        <v>0.24892066557879072</v>
      </c>
    </row>
    <row r="671" spans="1:2" x14ac:dyDescent="0.2">
      <c r="A671" s="108">
        <f t="shared" ca="1" si="21"/>
        <v>0.52525954120499863</v>
      </c>
      <c r="B671" s="124">
        <f t="shared" ca="1" si="20"/>
        <v>0.20505190824099973</v>
      </c>
    </row>
    <row r="672" spans="1:2" x14ac:dyDescent="0.2">
      <c r="A672" s="108">
        <f t="shared" ca="1" si="21"/>
        <v>-0.66488856290443688</v>
      </c>
      <c r="B672" s="124">
        <f t="shared" ca="1" si="20"/>
        <v>-3.2977712580887386E-2</v>
      </c>
    </row>
    <row r="673" spans="1:2" x14ac:dyDescent="0.2">
      <c r="A673" s="108">
        <f t="shared" ca="1" si="21"/>
        <v>0.44123015642030294</v>
      </c>
      <c r="B673" s="124">
        <f t="shared" ca="1" si="20"/>
        <v>0.18824603128406059</v>
      </c>
    </row>
    <row r="674" spans="1:2" x14ac:dyDescent="0.2">
      <c r="A674" s="108">
        <f t="shared" ca="1" si="21"/>
        <v>0.14433886695340095</v>
      </c>
      <c r="B674" s="124">
        <f t="shared" ca="1" si="20"/>
        <v>0.1288677733906802</v>
      </c>
    </row>
    <row r="675" spans="1:2" x14ac:dyDescent="0.2">
      <c r="A675" s="108">
        <f t="shared" ca="1" si="21"/>
        <v>1.5239236609436504</v>
      </c>
      <c r="B675" s="124">
        <f t="shared" ca="1" si="20"/>
        <v>0.40478473218873012</v>
      </c>
    </row>
    <row r="676" spans="1:2" x14ac:dyDescent="0.2">
      <c r="A676" s="108">
        <f t="shared" ca="1" si="21"/>
        <v>0.72117699822743064</v>
      </c>
      <c r="B676" s="124">
        <f t="shared" ca="1" si="20"/>
        <v>0.24423539964548613</v>
      </c>
    </row>
    <row r="677" spans="1:2" x14ac:dyDescent="0.2">
      <c r="A677" s="108">
        <f t="shared" ca="1" si="21"/>
        <v>-0.88557372699083847</v>
      </c>
      <c r="B677" s="124">
        <f t="shared" ca="1" si="20"/>
        <v>-7.7114745398167706E-2</v>
      </c>
    </row>
    <row r="678" spans="1:2" x14ac:dyDescent="0.2">
      <c r="A678" s="108">
        <f t="shared" ca="1" si="21"/>
        <v>-4.9537002167637324E-2</v>
      </c>
      <c r="B678" s="124">
        <f t="shared" ca="1" si="20"/>
        <v>9.0092599566472545E-2</v>
      </c>
    </row>
    <row r="679" spans="1:2" x14ac:dyDescent="0.2">
      <c r="A679" s="108">
        <f t="shared" ca="1" si="21"/>
        <v>1.6307484654184021</v>
      </c>
      <c r="B679" s="124">
        <f t="shared" ca="1" si="20"/>
        <v>0.42614969308368045</v>
      </c>
    </row>
    <row r="680" spans="1:2" x14ac:dyDescent="0.2">
      <c r="A680" s="108">
        <f t="shared" ca="1" si="21"/>
        <v>-0.52578902878417821</v>
      </c>
      <c r="B680" s="124">
        <f t="shared" ca="1" si="20"/>
        <v>-5.1578057568356372E-3</v>
      </c>
    </row>
    <row r="681" spans="1:2" x14ac:dyDescent="0.2">
      <c r="A681" s="108">
        <f t="shared" ca="1" si="21"/>
        <v>-1.5838559937947729</v>
      </c>
      <c r="B681" s="124">
        <f t="shared" ca="1" si="20"/>
        <v>-0.21677119875895459</v>
      </c>
    </row>
    <row r="682" spans="1:2" x14ac:dyDescent="0.2">
      <c r="A682" s="108">
        <f t="shared" ca="1" si="21"/>
        <v>3.1152055940115604</v>
      </c>
      <c r="B682" s="124">
        <f t="shared" ca="1" si="20"/>
        <v>0.72304111880231214</v>
      </c>
    </row>
    <row r="683" spans="1:2" x14ac:dyDescent="0.2">
      <c r="A683" s="108">
        <f t="shared" ca="1" si="21"/>
        <v>-0.52838095410226249</v>
      </c>
      <c r="B683" s="124">
        <f t="shared" ca="1" si="20"/>
        <v>-5.6761908204524952E-3</v>
      </c>
    </row>
    <row r="684" spans="1:2" x14ac:dyDescent="0.2">
      <c r="A684" s="108">
        <f t="shared" ca="1" si="21"/>
        <v>-0.19902412164165689</v>
      </c>
      <c r="B684" s="124">
        <f t="shared" ca="1" si="20"/>
        <v>6.0195175671668627E-2</v>
      </c>
    </row>
    <row r="685" spans="1:2" x14ac:dyDescent="0.2">
      <c r="A685" s="108">
        <f t="shared" ca="1" si="21"/>
        <v>1.0712359744126292</v>
      </c>
      <c r="B685" s="124">
        <f t="shared" ca="1" si="20"/>
        <v>0.31424719488252584</v>
      </c>
    </row>
    <row r="686" spans="1:2" x14ac:dyDescent="0.2">
      <c r="A686" s="108">
        <f t="shared" ca="1" si="21"/>
        <v>0.55847098984361798</v>
      </c>
      <c r="B686" s="124">
        <f t="shared" ca="1" si="20"/>
        <v>0.2116941979687236</v>
      </c>
    </row>
    <row r="687" spans="1:2" x14ac:dyDescent="0.2">
      <c r="A687" s="108">
        <f t="shared" ca="1" si="21"/>
        <v>7.0808217665684361E-2</v>
      </c>
      <c r="B687" s="124">
        <f t="shared" ca="1" si="20"/>
        <v>0.11416164353313688</v>
      </c>
    </row>
    <row r="688" spans="1:2" x14ac:dyDescent="0.2">
      <c r="A688" s="108">
        <f t="shared" ca="1" si="21"/>
        <v>0.39280625934854019</v>
      </c>
      <c r="B688" s="124">
        <f t="shared" ca="1" si="20"/>
        <v>0.17856125186970806</v>
      </c>
    </row>
    <row r="689" spans="1:2" x14ac:dyDescent="0.2">
      <c r="A689" s="108">
        <f t="shared" ca="1" si="21"/>
        <v>1.0092127554765868</v>
      </c>
      <c r="B689" s="124">
        <f t="shared" ca="1" si="20"/>
        <v>0.30184255109531738</v>
      </c>
    </row>
    <row r="690" spans="1:2" x14ac:dyDescent="0.2">
      <c r="A690" s="108">
        <f t="shared" ca="1" si="21"/>
        <v>-0.11841992267232557</v>
      </c>
      <c r="B690" s="124">
        <f t="shared" ca="1" si="20"/>
        <v>7.6316015465534889E-2</v>
      </c>
    </row>
    <row r="691" spans="1:2" x14ac:dyDescent="0.2">
      <c r="A691" s="108">
        <f t="shared" ca="1" si="21"/>
        <v>-0.1790201887874121</v>
      </c>
      <c r="B691" s="124">
        <f t="shared" ca="1" si="20"/>
        <v>6.4195962242517585E-2</v>
      </c>
    </row>
    <row r="692" spans="1:2" x14ac:dyDescent="0.2">
      <c r="A692" s="108">
        <f t="shared" ca="1" si="21"/>
        <v>0.37622268020986838</v>
      </c>
      <c r="B692" s="124">
        <f t="shared" ca="1" si="20"/>
        <v>0.17524453604197368</v>
      </c>
    </row>
    <row r="693" spans="1:2" x14ac:dyDescent="0.2">
      <c r="A693" s="108">
        <f t="shared" ca="1" si="21"/>
        <v>0.67982730048083173</v>
      </c>
      <c r="B693" s="124">
        <f t="shared" ca="1" si="20"/>
        <v>0.23596546009616637</v>
      </c>
    </row>
    <row r="694" spans="1:2" x14ac:dyDescent="0.2">
      <c r="A694" s="108">
        <f t="shared" ca="1" si="21"/>
        <v>-0.71049001789192534</v>
      </c>
      <c r="B694" s="124">
        <f t="shared" ca="1" si="20"/>
        <v>-4.2098003578385057E-2</v>
      </c>
    </row>
    <row r="695" spans="1:2" x14ac:dyDescent="0.2">
      <c r="A695" s="108">
        <f t="shared" ca="1" si="21"/>
        <v>3.3234478037870906E-2</v>
      </c>
      <c r="B695" s="124">
        <f t="shared" ca="1" si="20"/>
        <v>0.10664689560757419</v>
      </c>
    </row>
    <row r="696" spans="1:2" x14ac:dyDescent="0.2">
      <c r="A696" s="108">
        <f t="shared" ca="1" si="21"/>
        <v>-0.19794044404390015</v>
      </c>
      <c r="B696" s="124">
        <f t="shared" ca="1" si="20"/>
        <v>6.0411911191219969E-2</v>
      </c>
    </row>
    <row r="697" spans="1:2" x14ac:dyDescent="0.2">
      <c r="A697" s="108">
        <f t="shared" ca="1" si="21"/>
        <v>0.68252244341949031</v>
      </c>
      <c r="B697" s="124">
        <f t="shared" ca="1" si="20"/>
        <v>0.23650448868389806</v>
      </c>
    </row>
    <row r="698" spans="1:2" x14ac:dyDescent="0.2">
      <c r="A698" s="108">
        <f t="shared" ca="1" si="21"/>
        <v>0.19128512593208913</v>
      </c>
      <c r="B698" s="124">
        <f t="shared" ca="1" si="20"/>
        <v>0.13825702518641783</v>
      </c>
    </row>
    <row r="699" spans="1:2" x14ac:dyDescent="0.2">
      <c r="A699" s="108">
        <f t="shared" ca="1" si="21"/>
        <v>-1.1459980053940642</v>
      </c>
      <c r="B699" s="124">
        <f t="shared" ca="1" si="20"/>
        <v>-0.12919960107881284</v>
      </c>
    </row>
    <row r="700" spans="1:2" x14ac:dyDescent="0.2">
      <c r="A700" s="108">
        <f t="shared" ca="1" si="21"/>
        <v>-0.41637229778998408</v>
      </c>
      <c r="B700" s="124">
        <f t="shared" ca="1" si="20"/>
        <v>1.6725540442003181E-2</v>
      </c>
    </row>
    <row r="701" spans="1:2" x14ac:dyDescent="0.2">
      <c r="A701" s="108">
        <f t="shared" ca="1" si="21"/>
        <v>1.0404355974919137</v>
      </c>
      <c r="B701" s="124">
        <f t="shared" ca="1" si="20"/>
        <v>0.30808711949838274</v>
      </c>
    </row>
    <row r="702" spans="1:2" x14ac:dyDescent="0.2">
      <c r="A702" s="108">
        <f t="shared" ca="1" si="21"/>
        <v>0.82488589608453811</v>
      </c>
      <c r="B702" s="124">
        <f t="shared" ca="1" si="20"/>
        <v>0.26497717921690767</v>
      </c>
    </row>
    <row r="703" spans="1:2" x14ac:dyDescent="0.2">
      <c r="A703" s="108">
        <f t="shared" ca="1" si="21"/>
        <v>-0.39632727997290956</v>
      </c>
      <c r="B703" s="124">
        <f t="shared" ca="1" si="20"/>
        <v>2.073454400541809E-2</v>
      </c>
    </row>
    <row r="704" spans="1:2" x14ac:dyDescent="0.2">
      <c r="A704" s="108">
        <f t="shared" ca="1" si="21"/>
        <v>1.2623616540897098</v>
      </c>
      <c r="B704" s="124">
        <f t="shared" ca="1" si="20"/>
        <v>0.35247233081794194</v>
      </c>
    </row>
    <row r="705" spans="1:2" x14ac:dyDescent="0.2">
      <c r="A705" s="108">
        <f t="shared" ca="1" si="21"/>
        <v>-1.6609463760126537</v>
      </c>
      <c r="B705" s="124">
        <f t="shared" ca="1" si="20"/>
        <v>-0.23218927520253077</v>
      </c>
    </row>
    <row r="706" spans="1:2" x14ac:dyDescent="0.2">
      <c r="A706" s="108">
        <f t="shared" ca="1" si="21"/>
        <v>-1.2500040419059015</v>
      </c>
      <c r="B706" s="124">
        <f t="shared" ca="1" si="20"/>
        <v>-0.15000080838118032</v>
      </c>
    </row>
    <row r="707" spans="1:2" x14ac:dyDescent="0.2">
      <c r="A707" s="108">
        <f t="shared" ca="1" si="21"/>
        <v>-1.4378957959974084</v>
      </c>
      <c r="B707" s="124">
        <f t="shared" ca="1" si="20"/>
        <v>-0.18757915919948168</v>
      </c>
    </row>
    <row r="708" spans="1:2" x14ac:dyDescent="0.2">
      <c r="A708" s="108">
        <f t="shared" ca="1" si="21"/>
        <v>0.31241708655822992</v>
      </c>
      <c r="B708" s="124">
        <f t="shared" ca="1" si="20"/>
        <v>0.16248341731164601</v>
      </c>
    </row>
    <row r="709" spans="1:2" x14ac:dyDescent="0.2">
      <c r="A709" s="108">
        <f t="shared" ca="1" si="21"/>
        <v>0.44033121463645875</v>
      </c>
      <c r="B709" s="124">
        <f t="shared" ca="1" si="20"/>
        <v>0.18806624292729177</v>
      </c>
    </row>
    <row r="710" spans="1:2" x14ac:dyDescent="0.2">
      <c r="A710" s="108">
        <f t="shared" ca="1" si="21"/>
        <v>2.0296738963017056</v>
      </c>
      <c r="B710" s="124">
        <f t="shared" ca="1" si="20"/>
        <v>0.50593477926034114</v>
      </c>
    </row>
    <row r="711" spans="1:2" x14ac:dyDescent="0.2">
      <c r="A711" s="108">
        <f t="shared" ca="1" si="21"/>
        <v>0.35178811270687194</v>
      </c>
      <c r="B711" s="124">
        <f t="shared" ca="1" si="20"/>
        <v>0.17035762254137438</v>
      </c>
    </row>
    <row r="712" spans="1:2" x14ac:dyDescent="0.2">
      <c r="A712" s="108">
        <f t="shared" ca="1" si="21"/>
        <v>0.51769139144168996</v>
      </c>
      <c r="B712" s="124">
        <f t="shared" ca="1" si="20"/>
        <v>0.20353827828833801</v>
      </c>
    </row>
    <row r="713" spans="1:2" x14ac:dyDescent="0.2">
      <c r="A713" s="108">
        <f t="shared" ca="1" si="21"/>
        <v>-0.41030848683893534</v>
      </c>
      <c r="B713" s="124">
        <f t="shared" ca="1" si="20"/>
        <v>1.7938302632212938E-2</v>
      </c>
    </row>
    <row r="714" spans="1:2" x14ac:dyDescent="0.2">
      <c r="A714" s="108">
        <f t="shared" ca="1" si="21"/>
        <v>0.48154714086902262</v>
      </c>
      <c r="B714" s="124">
        <f t="shared" ref="B714:B777" ca="1" si="22">$C$1+A714*$C$2</f>
        <v>0.19630942817380453</v>
      </c>
    </row>
    <row r="715" spans="1:2" x14ac:dyDescent="0.2">
      <c r="A715" s="108">
        <f t="shared" ref="A715:A778" ca="1" si="23">NORMSINV(RAND())</f>
        <v>-7.5644991749932416E-2</v>
      </c>
      <c r="B715" s="124">
        <f t="shared" ca="1" si="22"/>
        <v>8.4871001650013517E-2</v>
      </c>
    </row>
    <row r="716" spans="1:2" x14ac:dyDescent="0.2">
      <c r="A716" s="108">
        <f t="shared" ca="1" si="23"/>
        <v>-2.82581675225356</v>
      </c>
      <c r="B716" s="124">
        <f t="shared" ca="1" si="22"/>
        <v>-0.465163350450712</v>
      </c>
    </row>
    <row r="717" spans="1:2" x14ac:dyDescent="0.2">
      <c r="A717" s="108">
        <f t="shared" ca="1" si="23"/>
        <v>-1.4739223187502746</v>
      </c>
      <c r="B717" s="124">
        <f t="shared" ca="1" si="22"/>
        <v>-0.1947844637500549</v>
      </c>
    </row>
    <row r="718" spans="1:2" x14ac:dyDescent="0.2">
      <c r="A718" s="108">
        <f t="shared" ca="1" si="23"/>
        <v>-1.4948121954934879E-2</v>
      </c>
      <c r="B718" s="124">
        <f t="shared" ca="1" si="22"/>
        <v>9.701037560901303E-2</v>
      </c>
    </row>
    <row r="719" spans="1:2" x14ac:dyDescent="0.2">
      <c r="A719" s="108">
        <f t="shared" ca="1" si="23"/>
        <v>1.0336249811053511</v>
      </c>
      <c r="B719" s="124">
        <f t="shared" ca="1" si="22"/>
        <v>0.30672499622107019</v>
      </c>
    </row>
    <row r="720" spans="1:2" x14ac:dyDescent="0.2">
      <c r="A720" s="108">
        <f t="shared" ca="1" si="23"/>
        <v>-5.7896142052643436E-2</v>
      </c>
      <c r="B720" s="124">
        <f t="shared" ca="1" si="22"/>
        <v>8.8420771589471314E-2</v>
      </c>
    </row>
    <row r="721" spans="1:2" x14ac:dyDescent="0.2">
      <c r="A721" s="108">
        <f t="shared" ca="1" si="23"/>
        <v>0.3686590566376044</v>
      </c>
      <c r="B721" s="124">
        <f t="shared" ca="1" si="22"/>
        <v>0.17373181132752089</v>
      </c>
    </row>
    <row r="722" spans="1:2" x14ac:dyDescent="0.2">
      <c r="A722" s="108">
        <f t="shared" ca="1" si="23"/>
        <v>-0.11685728490817594</v>
      </c>
      <c r="B722" s="124">
        <f t="shared" ca="1" si="22"/>
        <v>7.6628543018364817E-2</v>
      </c>
    </row>
    <row r="723" spans="1:2" x14ac:dyDescent="0.2">
      <c r="A723" s="108">
        <f t="shared" ca="1" si="23"/>
        <v>-5.0906390382793265E-2</v>
      </c>
      <c r="B723" s="124">
        <f t="shared" ca="1" si="22"/>
        <v>8.9818721923441355E-2</v>
      </c>
    </row>
    <row r="724" spans="1:2" x14ac:dyDescent="0.2">
      <c r="A724" s="108">
        <f t="shared" ca="1" si="23"/>
        <v>0.47766026545991902</v>
      </c>
      <c r="B724" s="124">
        <f t="shared" ca="1" si="22"/>
        <v>0.19553205309198382</v>
      </c>
    </row>
    <row r="725" spans="1:2" x14ac:dyDescent="0.2">
      <c r="A725" s="108">
        <f t="shared" ca="1" si="23"/>
        <v>1.0809396310991835</v>
      </c>
      <c r="B725" s="124">
        <f t="shared" ca="1" si="22"/>
        <v>0.31618792621983671</v>
      </c>
    </row>
    <row r="726" spans="1:2" x14ac:dyDescent="0.2">
      <c r="A726" s="108">
        <f t="shared" ca="1" si="23"/>
        <v>-1.1894485605744671</v>
      </c>
      <c r="B726" s="124">
        <f t="shared" ca="1" si="22"/>
        <v>-0.13788971211489343</v>
      </c>
    </row>
    <row r="727" spans="1:2" x14ac:dyDescent="0.2">
      <c r="A727" s="108">
        <f t="shared" ca="1" si="23"/>
        <v>-0.58737501567842232</v>
      </c>
      <c r="B727" s="124">
        <f t="shared" ca="1" si="22"/>
        <v>-1.7475003135684467E-2</v>
      </c>
    </row>
    <row r="728" spans="1:2" x14ac:dyDescent="0.2">
      <c r="A728" s="108">
        <f t="shared" ca="1" si="23"/>
        <v>3.1373242086615391E-2</v>
      </c>
      <c r="B728" s="124">
        <f t="shared" ca="1" si="22"/>
        <v>0.10627464841732308</v>
      </c>
    </row>
    <row r="729" spans="1:2" x14ac:dyDescent="0.2">
      <c r="A729" s="108">
        <f t="shared" ca="1" si="23"/>
        <v>-1.0570499752203155</v>
      </c>
      <c r="B729" s="124">
        <f t="shared" ca="1" si="22"/>
        <v>-0.1114099950440631</v>
      </c>
    </row>
    <row r="730" spans="1:2" x14ac:dyDescent="0.2">
      <c r="A730" s="108">
        <f t="shared" ca="1" si="23"/>
        <v>0.854730486039742</v>
      </c>
      <c r="B730" s="124">
        <f t="shared" ca="1" si="22"/>
        <v>0.27094609720794838</v>
      </c>
    </row>
    <row r="731" spans="1:2" x14ac:dyDescent="0.2">
      <c r="A731" s="108">
        <f t="shared" ca="1" si="23"/>
        <v>4.3087671110084615</v>
      </c>
      <c r="B731" s="124">
        <f t="shared" ca="1" si="22"/>
        <v>0.96175342220169235</v>
      </c>
    </row>
    <row r="732" spans="1:2" x14ac:dyDescent="0.2">
      <c r="A732" s="108">
        <f t="shared" ca="1" si="23"/>
        <v>1.9907264161230938</v>
      </c>
      <c r="B732" s="124">
        <f t="shared" ca="1" si="22"/>
        <v>0.49814528322461882</v>
      </c>
    </row>
    <row r="733" spans="1:2" x14ac:dyDescent="0.2">
      <c r="A733" s="108">
        <f t="shared" ca="1" si="23"/>
        <v>-0.4909331899999867</v>
      </c>
      <c r="B733" s="124">
        <f t="shared" ca="1" si="22"/>
        <v>1.8133620000026635E-3</v>
      </c>
    </row>
    <row r="734" spans="1:2" x14ac:dyDescent="0.2">
      <c r="A734" s="108">
        <f t="shared" ca="1" si="23"/>
        <v>-1.0913770412878048</v>
      </c>
      <c r="B734" s="124">
        <f t="shared" ca="1" si="22"/>
        <v>-0.11827540825756097</v>
      </c>
    </row>
    <row r="735" spans="1:2" x14ac:dyDescent="0.2">
      <c r="A735" s="108">
        <f t="shared" ca="1" si="23"/>
        <v>-0.24739540346503047</v>
      </c>
      <c r="B735" s="124">
        <f t="shared" ca="1" si="22"/>
        <v>5.0520919306993907E-2</v>
      </c>
    </row>
    <row r="736" spans="1:2" x14ac:dyDescent="0.2">
      <c r="A736" s="108">
        <f t="shared" ca="1" si="23"/>
        <v>-1.1107457754603853</v>
      </c>
      <c r="B736" s="124">
        <f t="shared" ca="1" si="22"/>
        <v>-0.12214915509207708</v>
      </c>
    </row>
    <row r="737" spans="1:2" x14ac:dyDescent="0.2">
      <c r="A737" s="108">
        <f t="shared" ca="1" si="23"/>
        <v>0.31170245979735867</v>
      </c>
      <c r="B737" s="124">
        <f t="shared" ca="1" si="22"/>
        <v>0.16234049195947176</v>
      </c>
    </row>
    <row r="738" spans="1:2" x14ac:dyDescent="0.2">
      <c r="A738" s="108">
        <f t="shared" ca="1" si="23"/>
        <v>0.77474263465226223</v>
      </c>
      <c r="B738" s="124">
        <f t="shared" ca="1" si="22"/>
        <v>0.25494852693045245</v>
      </c>
    </row>
    <row r="739" spans="1:2" x14ac:dyDescent="0.2">
      <c r="A739" s="108">
        <f t="shared" ca="1" si="23"/>
        <v>0.80701150763645257</v>
      </c>
      <c r="B739" s="124">
        <f t="shared" ca="1" si="22"/>
        <v>0.26140230152729049</v>
      </c>
    </row>
    <row r="740" spans="1:2" x14ac:dyDescent="0.2">
      <c r="A740" s="108">
        <f t="shared" ca="1" si="23"/>
        <v>0.6897406285777633</v>
      </c>
      <c r="B740" s="124">
        <f t="shared" ca="1" si="22"/>
        <v>0.23794812571555268</v>
      </c>
    </row>
    <row r="741" spans="1:2" x14ac:dyDescent="0.2">
      <c r="A741" s="108">
        <f t="shared" ca="1" si="23"/>
        <v>0.57437523113206823</v>
      </c>
      <c r="B741" s="124">
        <f t="shared" ca="1" si="22"/>
        <v>0.21487504622641365</v>
      </c>
    </row>
    <row r="742" spans="1:2" x14ac:dyDescent="0.2">
      <c r="A742" s="108">
        <f t="shared" ca="1" si="23"/>
        <v>0.8161414533354362</v>
      </c>
      <c r="B742" s="124">
        <f t="shared" ca="1" si="22"/>
        <v>0.26322829066708725</v>
      </c>
    </row>
    <row r="743" spans="1:2" x14ac:dyDescent="0.2">
      <c r="A743" s="108">
        <f t="shared" ca="1" si="23"/>
        <v>1.2233559576883035</v>
      </c>
      <c r="B743" s="124">
        <f t="shared" ca="1" si="22"/>
        <v>0.34467119153766068</v>
      </c>
    </row>
    <row r="744" spans="1:2" x14ac:dyDescent="0.2">
      <c r="A744" s="108">
        <f t="shared" ca="1" si="23"/>
        <v>0.72294360402593361</v>
      </c>
      <c r="B744" s="124">
        <f t="shared" ca="1" si="22"/>
        <v>0.24458872080518673</v>
      </c>
    </row>
    <row r="745" spans="1:2" x14ac:dyDescent="0.2">
      <c r="A745" s="108">
        <f t="shared" ca="1" si="23"/>
        <v>1.0755008187787471</v>
      </c>
      <c r="B745" s="124">
        <f t="shared" ca="1" si="22"/>
        <v>0.31510016375574945</v>
      </c>
    </row>
    <row r="746" spans="1:2" x14ac:dyDescent="0.2">
      <c r="A746" s="108">
        <f t="shared" ca="1" si="23"/>
        <v>-0.97669737960382386</v>
      </c>
      <c r="B746" s="124">
        <f t="shared" ca="1" si="22"/>
        <v>-9.5339475920764777E-2</v>
      </c>
    </row>
    <row r="747" spans="1:2" x14ac:dyDescent="0.2">
      <c r="A747" s="108">
        <f t="shared" ca="1" si="23"/>
        <v>-3.0193116506803459E-2</v>
      </c>
      <c r="B747" s="124">
        <f t="shared" ca="1" si="22"/>
        <v>9.3961376698639312E-2</v>
      </c>
    </row>
    <row r="748" spans="1:2" x14ac:dyDescent="0.2">
      <c r="A748" s="108">
        <f t="shared" ca="1" si="23"/>
        <v>0.51884655623162768</v>
      </c>
      <c r="B748" s="124">
        <f t="shared" ca="1" si="22"/>
        <v>0.20376931124632555</v>
      </c>
    </row>
    <row r="749" spans="1:2" x14ac:dyDescent="0.2">
      <c r="A749" s="108">
        <f t="shared" ca="1" si="23"/>
        <v>1.0864113986875352</v>
      </c>
      <c r="B749" s="124">
        <f t="shared" ca="1" si="22"/>
        <v>0.31728227973750706</v>
      </c>
    </row>
    <row r="750" spans="1:2" x14ac:dyDescent="0.2">
      <c r="A750" s="108">
        <f t="shared" ca="1" si="23"/>
        <v>0.11397645227448719</v>
      </c>
      <c r="B750" s="124">
        <f t="shared" ca="1" si="22"/>
        <v>0.12279529045489744</v>
      </c>
    </row>
    <row r="751" spans="1:2" x14ac:dyDescent="0.2">
      <c r="A751" s="108">
        <f t="shared" ca="1" si="23"/>
        <v>9.6613714257023642E-2</v>
      </c>
      <c r="B751" s="124">
        <f t="shared" ca="1" si="22"/>
        <v>0.11932274285140473</v>
      </c>
    </row>
    <row r="752" spans="1:2" x14ac:dyDescent="0.2">
      <c r="A752" s="108">
        <f t="shared" ca="1" si="23"/>
        <v>-0.85485942475177723</v>
      </c>
      <c r="B752" s="124">
        <f t="shared" ca="1" si="22"/>
        <v>-7.0971884950355446E-2</v>
      </c>
    </row>
    <row r="753" spans="1:2" x14ac:dyDescent="0.2">
      <c r="A753" s="108">
        <f t="shared" ca="1" si="23"/>
        <v>-2.2997238080532729</v>
      </c>
      <c r="B753" s="124">
        <f t="shared" ca="1" si="22"/>
        <v>-0.35994476161065458</v>
      </c>
    </row>
    <row r="754" spans="1:2" x14ac:dyDescent="0.2">
      <c r="A754" s="108">
        <f t="shared" ca="1" si="23"/>
        <v>-0.80925664265203667</v>
      </c>
      <c r="B754" s="124">
        <f t="shared" ca="1" si="22"/>
        <v>-6.185132853040734E-2</v>
      </c>
    </row>
    <row r="755" spans="1:2" x14ac:dyDescent="0.2">
      <c r="A755" s="108">
        <f t="shared" ca="1" si="23"/>
        <v>0.41173486841332441</v>
      </c>
      <c r="B755" s="124">
        <f t="shared" ca="1" si="22"/>
        <v>0.18234697368266489</v>
      </c>
    </row>
    <row r="756" spans="1:2" x14ac:dyDescent="0.2">
      <c r="A756" s="108">
        <f t="shared" ca="1" si="23"/>
        <v>-0.28645871929265931</v>
      </c>
      <c r="B756" s="124">
        <f t="shared" ca="1" si="22"/>
        <v>4.2708256141468143E-2</v>
      </c>
    </row>
    <row r="757" spans="1:2" x14ac:dyDescent="0.2">
      <c r="A757" s="108">
        <f t="shared" ca="1" si="23"/>
        <v>0.1985531422775817</v>
      </c>
      <c r="B757" s="124">
        <f t="shared" ca="1" si="22"/>
        <v>0.13971062845551635</v>
      </c>
    </row>
    <row r="758" spans="1:2" x14ac:dyDescent="0.2">
      <c r="A758" s="108">
        <f t="shared" ca="1" si="23"/>
        <v>5.7514583908120344E-2</v>
      </c>
      <c r="B758" s="124">
        <f t="shared" ca="1" si="22"/>
        <v>0.11150291678162408</v>
      </c>
    </row>
    <row r="759" spans="1:2" x14ac:dyDescent="0.2">
      <c r="A759" s="108">
        <f t="shared" ca="1" si="23"/>
        <v>-1.1044625211213175</v>
      </c>
      <c r="B759" s="124">
        <f t="shared" ca="1" si="22"/>
        <v>-0.12089250422426351</v>
      </c>
    </row>
    <row r="760" spans="1:2" x14ac:dyDescent="0.2">
      <c r="A760" s="108">
        <f t="shared" ca="1" si="23"/>
        <v>-0.85068836796820158</v>
      </c>
      <c r="B760" s="124">
        <f t="shared" ca="1" si="22"/>
        <v>-7.0137673593640315E-2</v>
      </c>
    </row>
    <row r="761" spans="1:2" x14ac:dyDescent="0.2">
      <c r="A761" s="108">
        <f t="shared" ca="1" si="23"/>
        <v>1.1096608678134512</v>
      </c>
      <c r="B761" s="124">
        <f t="shared" ca="1" si="22"/>
        <v>0.32193217356269022</v>
      </c>
    </row>
    <row r="762" spans="1:2" x14ac:dyDescent="0.2">
      <c r="A762" s="108">
        <f t="shared" ca="1" si="23"/>
        <v>-0.68936657442608207</v>
      </c>
      <c r="B762" s="124">
        <f t="shared" ca="1" si="22"/>
        <v>-3.7873314885216419E-2</v>
      </c>
    </row>
    <row r="763" spans="1:2" x14ac:dyDescent="0.2">
      <c r="A763" s="108">
        <f t="shared" ca="1" si="23"/>
        <v>1.2536238482928193</v>
      </c>
      <c r="B763" s="124">
        <f t="shared" ca="1" si="22"/>
        <v>0.35072476965856392</v>
      </c>
    </row>
    <row r="764" spans="1:2" x14ac:dyDescent="0.2">
      <c r="A764" s="108">
        <f t="shared" ca="1" si="23"/>
        <v>-1.7778560997105217</v>
      </c>
      <c r="B764" s="124">
        <f t="shared" ca="1" si="22"/>
        <v>-0.25557121994210441</v>
      </c>
    </row>
    <row r="765" spans="1:2" x14ac:dyDescent="0.2">
      <c r="A765" s="108">
        <f t="shared" ca="1" si="23"/>
        <v>-4.6738123760682454E-2</v>
      </c>
      <c r="B765" s="124">
        <f t="shared" ca="1" si="22"/>
        <v>9.0652375247863515E-2</v>
      </c>
    </row>
    <row r="766" spans="1:2" x14ac:dyDescent="0.2">
      <c r="A766" s="108">
        <f t="shared" ca="1" si="23"/>
        <v>0.92556649315817652</v>
      </c>
      <c r="B766" s="124">
        <f t="shared" ca="1" si="22"/>
        <v>0.28511329863163531</v>
      </c>
    </row>
    <row r="767" spans="1:2" x14ac:dyDescent="0.2">
      <c r="A767" s="108">
        <f t="shared" ca="1" si="23"/>
        <v>0.18453991554014398</v>
      </c>
      <c r="B767" s="124">
        <f t="shared" ca="1" si="22"/>
        <v>0.13690798310802882</v>
      </c>
    </row>
    <row r="768" spans="1:2" x14ac:dyDescent="0.2">
      <c r="A768" s="108">
        <f t="shared" ca="1" si="23"/>
        <v>-1.3285936038582589</v>
      </c>
      <c r="B768" s="124">
        <f t="shared" ca="1" si="22"/>
        <v>-0.16571872077165176</v>
      </c>
    </row>
    <row r="769" spans="1:2" x14ac:dyDescent="0.2">
      <c r="A769" s="108">
        <f t="shared" ca="1" si="23"/>
        <v>0.97041777460255885</v>
      </c>
      <c r="B769" s="124">
        <f t="shared" ca="1" si="22"/>
        <v>0.29408355492051175</v>
      </c>
    </row>
    <row r="770" spans="1:2" x14ac:dyDescent="0.2">
      <c r="A770" s="108">
        <f t="shared" ca="1" si="23"/>
        <v>-0.99481437002140638</v>
      </c>
      <c r="B770" s="124">
        <f t="shared" ca="1" si="22"/>
        <v>-9.8962874004281276E-2</v>
      </c>
    </row>
    <row r="771" spans="1:2" x14ac:dyDescent="0.2">
      <c r="A771" s="108">
        <f t="shared" ca="1" si="23"/>
        <v>0.29234284025589274</v>
      </c>
      <c r="B771" s="124">
        <f t="shared" ca="1" si="22"/>
        <v>0.15846856805117857</v>
      </c>
    </row>
    <row r="772" spans="1:2" x14ac:dyDescent="0.2">
      <c r="A772" s="108">
        <f t="shared" ca="1" si="23"/>
        <v>0.9158031626642732</v>
      </c>
      <c r="B772" s="124">
        <f t="shared" ca="1" si="22"/>
        <v>0.28316063253285462</v>
      </c>
    </row>
    <row r="773" spans="1:2" x14ac:dyDescent="0.2">
      <c r="A773" s="108">
        <f t="shared" ca="1" si="23"/>
        <v>0.85603110173408903</v>
      </c>
      <c r="B773" s="124">
        <f t="shared" ca="1" si="22"/>
        <v>0.27120622034681785</v>
      </c>
    </row>
    <row r="774" spans="1:2" x14ac:dyDescent="0.2">
      <c r="A774" s="108">
        <f t="shared" ca="1" si="23"/>
        <v>-0.32949268205170773</v>
      </c>
      <c r="B774" s="124">
        <f t="shared" ca="1" si="22"/>
        <v>3.4101463589658459E-2</v>
      </c>
    </row>
    <row r="775" spans="1:2" x14ac:dyDescent="0.2">
      <c r="A775" s="108">
        <f t="shared" ca="1" si="23"/>
        <v>0.68006872616721958</v>
      </c>
      <c r="B775" s="124">
        <f t="shared" ca="1" si="22"/>
        <v>0.23601374523344393</v>
      </c>
    </row>
    <row r="776" spans="1:2" x14ac:dyDescent="0.2">
      <c r="A776" s="108">
        <f t="shared" ca="1" si="23"/>
        <v>-0.92373974620537769</v>
      </c>
      <c r="B776" s="124">
        <f t="shared" ca="1" si="22"/>
        <v>-8.4747949241075538E-2</v>
      </c>
    </row>
    <row r="777" spans="1:2" x14ac:dyDescent="0.2">
      <c r="A777" s="108">
        <f t="shared" ca="1" si="23"/>
        <v>-1.3059726396827107</v>
      </c>
      <c r="B777" s="124">
        <f t="shared" ca="1" si="22"/>
        <v>-0.16119452793654213</v>
      </c>
    </row>
    <row r="778" spans="1:2" x14ac:dyDescent="0.2">
      <c r="A778" s="108">
        <f t="shared" ca="1" si="23"/>
        <v>-0.54646203095646195</v>
      </c>
      <c r="B778" s="124">
        <f t="shared" ref="B778:B841" ca="1" si="24">$C$1+A778*$C$2</f>
        <v>-9.2924061912923878E-3</v>
      </c>
    </row>
    <row r="779" spans="1:2" x14ac:dyDescent="0.2">
      <c r="A779" s="108">
        <f t="shared" ref="A779:A842" ca="1" si="25">NORMSINV(RAND())</f>
        <v>-1.9683168136011939</v>
      </c>
      <c r="B779" s="124">
        <f t="shared" ca="1" si="24"/>
        <v>-0.29366336272023885</v>
      </c>
    </row>
    <row r="780" spans="1:2" x14ac:dyDescent="0.2">
      <c r="A780" s="108">
        <f t="shared" ca="1" si="25"/>
        <v>-0.81596873462124697</v>
      </c>
      <c r="B780" s="124">
        <f t="shared" ca="1" si="24"/>
        <v>-6.3193746924249394E-2</v>
      </c>
    </row>
    <row r="781" spans="1:2" x14ac:dyDescent="0.2">
      <c r="A781" s="108">
        <f t="shared" ca="1" si="25"/>
        <v>-0.13263404837485621</v>
      </c>
      <c r="B781" s="124">
        <f t="shared" ca="1" si="24"/>
        <v>7.3473190325028762E-2</v>
      </c>
    </row>
    <row r="782" spans="1:2" x14ac:dyDescent="0.2">
      <c r="A782" s="108">
        <f t="shared" ca="1" si="25"/>
        <v>-0.34357431180444176</v>
      </c>
      <c r="B782" s="124">
        <f t="shared" ca="1" si="24"/>
        <v>3.1285137639111657E-2</v>
      </c>
    </row>
    <row r="783" spans="1:2" x14ac:dyDescent="0.2">
      <c r="A783" s="108">
        <f t="shared" ca="1" si="25"/>
        <v>-1.7965348981317404</v>
      </c>
      <c r="B783" s="124">
        <f t="shared" ca="1" si="24"/>
        <v>-0.25930697962634808</v>
      </c>
    </row>
    <row r="784" spans="1:2" x14ac:dyDescent="0.2">
      <c r="A784" s="108">
        <f t="shared" ca="1" si="25"/>
        <v>1.0756316173046134</v>
      </c>
      <c r="B784" s="124">
        <f t="shared" ca="1" si="24"/>
        <v>0.31512632346092273</v>
      </c>
    </row>
    <row r="785" spans="1:2" x14ac:dyDescent="0.2">
      <c r="A785" s="108">
        <f t="shared" ca="1" si="25"/>
        <v>-0.32836900150485038</v>
      </c>
      <c r="B785" s="124">
        <f t="shared" ca="1" si="24"/>
        <v>3.4326199699029933E-2</v>
      </c>
    </row>
    <row r="786" spans="1:2" x14ac:dyDescent="0.2">
      <c r="A786" s="108">
        <f t="shared" ca="1" si="25"/>
        <v>-1.9036661697562596</v>
      </c>
      <c r="B786" s="124">
        <f t="shared" ca="1" si="24"/>
        <v>-0.28073323395125194</v>
      </c>
    </row>
    <row r="787" spans="1:2" x14ac:dyDescent="0.2">
      <c r="A787" s="108">
        <f t="shared" ca="1" si="25"/>
        <v>1.2887079893564919</v>
      </c>
      <c r="B787" s="124">
        <f t="shared" ca="1" si="24"/>
        <v>0.35774159787129844</v>
      </c>
    </row>
    <row r="788" spans="1:2" x14ac:dyDescent="0.2">
      <c r="A788" s="108">
        <f t="shared" ca="1" si="25"/>
        <v>0.39848666108146652</v>
      </c>
      <c r="B788" s="124">
        <f t="shared" ca="1" si="24"/>
        <v>0.1796973322162933</v>
      </c>
    </row>
    <row r="789" spans="1:2" x14ac:dyDescent="0.2">
      <c r="A789" s="108">
        <f t="shared" ca="1" si="25"/>
        <v>-0.72305303294253154</v>
      </c>
      <c r="B789" s="124">
        <f t="shared" ca="1" si="24"/>
        <v>-4.4610606588506296E-2</v>
      </c>
    </row>
    <row r="790" spans="1:2" x14ac:dyDescent="0.2">
      <c r="A790" s="108">
        <f t="shared" ca="1" si="25"/>
        <v>-0.83711753983614945</v>
      </c>
      <c r="B790" s="124">
        <f t="shared" ca="1" si="24"/>
        <v>-6.7423507967229901E-2</v>
      </c>
    </row>
    <row r="791" spans="1:2" x14ac:dyDescent="0.2">
      <c r="A791" s="108">
        <f t="shared" ca="1" si="25"/>
        <v>-0.22092337676152005</v>
      </c>
      <c r="B791" s="124">
        <f t="shared" ca="1" si="24"/>
        <v>5.5815324647695994E-2</v>
      </c>
    </row>
    <row r="792" spans="1:2" x14ac:dyDescent="0.2">
      <c r="A792" s="108">
        <f t="shared" ca="1" si="25"/>
        <v>-0.13029384970494309</v>
      </c>
      <c r="B792" s="124">
        <f t="shared" ca="1" si="24"/>
        <v>7.394123005901139E-2</v>
      </c>
    </row>
    <row r="793" spans="1:2" x14ac:dyDescent="0.2">
      <c r="A793" s="108">
        <f t="shared" ca="1" si="25"/>
        <v>0.52537988999452501</v>
      </c>
      <c r="B793" s="124">
        <f t="shared" ca="1" si="24"/>
        <v>0.20507597799890501</v>
      </c>
    </row>
    <row r="794" spans="1:2" x14ac:dyDescent="0.2">
      <c r="A794" s="108">
        <f t="shared" ca="1" si="25"/>
        <v>0.45040893836688795</v>
      </c>
      <c r="B794" s="124">
        <f t="shared" ca="1" si="24"/>
        <v>0.19008178767337761</v>
      </c>
    </row>
    <row r="795" spans="1:2" x14ac:dyDescent="0.2">
      <c r="A795" s="108">
        <f t="shared" ca="1" si="25"/>
        <v>-0.65794399476183729</v>
      </c>
      <c r="B795" s="124">
        <f t="shared" ca="1" si="24"/>
        <v>-3.1588798952367464E-2</v>
      </c>
    </row>
    <row r="796" spans="1:2" x14ac:dyDescent="0.2">
      <c r="A796" s="108">
        <f t="shared" ca="1" si="25"/>
        <v>-6.136621072879371E-2</v>
      </c>
      <c r="B796" s="124">
        <f t="shared" ca="1" si="24"/>
        <v>8.7726757854241263E-2</v>
      </c>
    </row>
    <row r="797" spans="1:2" x14ac:dyDescent="0.2">
      <c r="A797" s="108">
        <f t="shared" ca="1" si="25"/>
        <v>1.9836999798489303</v>
      </c>
      <c r="B797" s="124">
        <f t="shared" ca="1" si="24"/>
        <v>0.49673999596978613</v>
      </c>
    </row>
    <row r="798" spans="1:2" x14ac:dyDescent="0.2">
      <c r="A798" s="108">
        <f t="shared" ca="1" si="25"/>
        <v>0.26293226877383402</v>
      </c>
      <c r="B798" s="124">
        <f t="shared" ca="1" si="24"/>
        <v>0.15258645375476682</v>
      </c>
    </row>
    <row r="799" spans="1:2" x14ac:dyDescent="0.2">
      <c r="A799" s="108">
        <f t="shared" ca="1" si="25"/>
        <v>-1.1558382412712758</v>
      </c>
      <c r="B799" s="124">
        <f t="shared" ca="1" si="24"/>
        <v>-0.13116764825425517</v>
      </c>
    </row>
    <row r="800" spans="1:2" x14ac:dyDescent="0.2">
      <c r="A800" s="108">
        <f t="shared" ca="1" si="25"/>
        <v>-0.77564881408654907</v>
      </c>
      <c r="B800" s="124">
        <f t="shared" ca="1" si="24"/>
        <v>-5.512976281730983E-2</v>
      </c>
    </row>
    <row r="801" spans="1:2" x14ac:dyDescent="0.2">
      <c r="A801" s="108">
        <f t="shared" ca="1" si="25"/>
        <v>2.4542939818453093</v>
      </c>
      <c r="B801" s="124">
        <f t="shared" ca="1" si="24"/>
        <v>0.59085879636906191</v>
      </c>
    </row>
    <row r="802" spans="1:2" x14ac:dyDescent="0.2">
      <c r="A802" s="108">
        <f t="shared" ca="1" si="25"/>
        <v>0.73774480404267107</v>
      </c>
      <c r="B802" s="124">
        <f t="shared" ca="1" si="24"/>
        <v>0.24754896080853422</v>
      </c>
    </row>
    <row r="803" spans="1:2" x14ac:dyDescent="0.2">
      <c r="A803" s="108">
        <f t="shared" ca="1" si="25"/>
        <v>-0.1288855311630088</v>
      </c>
      <c r="B803" s="124">
        <f t="shared" ca="1" si="24"/>
        <v>7.422289376739824E-2</v>
      </c>
    </row>
    <row r="804" spans="1:2" x14ac:dyDescent="0.2">
      <c r="A804" s="108">
        <f t="shared" ca="1" si="25"/>
        <v>-1.0557167983027536</v>
      </c>
      <c r="B804" s="124">
        <f t="shared" ca="1" si="24"/>
        <v>-0.11114335966055072</v>
      </c>
    </row>
    <row r="805" spans="1:2" x14ac:dyDescent="0.2">
      <c r="A805" s="108">
        <f t="shared" ca="1" si="25"/>
        <v>-8.2158977196058844E-2</v>
      </c>
      <c r="B805" s="124">
        <f t="shared" ca="1" si="24"/>
        <v>8.3568204560788228E-2</v>
      </c>
    </row>
    <row r="806" spans="1:2" x14ac:dyDescent="0.2">
      <c r="A806" s="108">
        <f t="shared" ca="1" si="25"/>
        <v>2.1932233476631322</v>
      </c>
      <c r="B806" s="124">
        <f t="shared" ca="1" si="24"/>
        <v>0.53864466953262646</v>
      </c>
    </row>
    <row r="807" spans="1:2" x14ac:dyDescent="0.2">
      <c r="A807" s="108">
        <f t="shared" ca="1" si="25"/>
        <v>-0.42639049362086912</v>
      </c>
      <c r="B807" s="124">
        <f t="shared" ca="1" si="24"/>
        <v>1.4721901275826177E-2</v>
      </c>
    </row>
    <row r="808" spans="1:2" x14ac:dyDescent="0.2">
      <c r="A808" s="108">
        <f t="shared" ca="1" si="25"/>
        <v>-0.19683344122017588</v>
      </c>
      <c r="B808" s="124">
        <f t="shared" ca="1" si="24"/>
        <v>6.0633311755964828E-2</v>
      </c>
    </row>
    <row r="809" spans="1:2" x14ac:dyDescent="0.2">
      <c r="A809" s="108">
        <f t="shared" ca="1" si="25"/>
        <v>1.3663101367519093</v>
      </c>
      <c r="B809" s="124">
        <f t="shared" ca="1" si="24"/>
        <v>0.37326202735038183</v>
      </c>
    </row>
    <row r="810" spans="1:2" x14ac:dyDescent="0.2">
      <c r="A810" s="108">
        <f t="shared" ca="1" si="25"/>
        <v>0.53927324028018497</v>
      </c>
      <c r="B810" s="124">
        <f t="shared" ca="1" si="24"/>
        <v>0.20785464805603701</v>
      </c>
    </row>
    <row r="811" spans="1:2" x14ac:dyDescent="0.2">
      <c r="A811" s="108">
        <f t="shared" ca="1" si="25"/>
        <v>-6.0801166013359234E-2</v>
      </c>
      <c r="B811" s="124">
        <f t="shared" ca="1" si="24"/>
        <v>8.7839766797328162E-2</v>
      </c>
    </row>
    <row r="812" spans="1:2" x14ac:dyDescent="0.2">
      <c r="A812" s="108">
        <f t="shared" ca="1" si="25"/>
        <v>-0.95292807958475967</v>
      </c>
      <c r="B812" s="124">
        <f t="shared" ca="1" si="24"/>
        <v>-9.0585615916951939E-2</v>
      </c>
    </row>
    <row r="813" spans="1:2" x14ac:dyDescent="0.2">
      <c r="A813" s="108">
        <f t="shared" ca="1" si="25"/>
        <v>-1.295879747739241</v>
      </c>
      <c r="B813" s="124">
        <f t="shared" ca="1" si="24"/>
        <v>-0.15917594954784822</v>
      </c>
    </row>
    <row r="814" spans="1:2" x14ac:dyDescent="0.2">
      <c r="A814" s="108">
        <f t="shared" ca="1" si="25"/>
        <v>0.50356305439055937</v>
      </c>
      <c r="B814" s="124">
        <f t="shared" ca="1" si="24"/>
        <v>0.20071261087811187</v>
      </c>
    </row>
    <row r="815" spans="1:2" x14ac:dyDescent="0.2">
      <c r="A815" s="108">
        <f t="shared" ca="1" si="25"/>
        <v>1.1685135648798319</v>
      </c>
      <c r="B815" s="124">
        <f t="shared" ca="1" si="24"/>
        <v>0.33370271297596643</v>
      </c>
    </row>
    <row r="816" spans="1:2" x14ac:dyDescent="0.2">
      <c r="A816" s="108">
        <f t="shared" ca="1" si="25"/>
        <v>0.51547954849950783</v>
      </c>
      <c r="B816" s="124">
        <f t="shared" ca="1" si="24"/>
        <v>0.20309590969990157</v>
      </c>
    </row>
    <row r="817" spans="1:2" x14ac:dyDescent="0.2">
      <c r="A817" s="108">
        <f t="shared" ca="1" si="25"/>
        <v>0.6154296916712545</v>
      </c>
      <c r="B817" s="124">
        <f t="shared" ca="1" si="24"/>
        <v>0.22308593833425092</v>
      </c>
    </row>
    <row r="818" spans="1:2" x14ac:dyDescent="0.2">
      <c r="A818" s="108">
        <f t="shared" ca="1" si="25"/>
        <v>-0.96825361661146347</v>
      </c>
      <c r="B818" s="124">
        <f t="shared" ca="1" si="24"/>
        <v>-9.3650723322292712E-2</v>
      </c>
    </row>
    <row r="819" spans="1:2" x14ac:dyDescent="0.2">
      <c r="A819" s="108">
        <f t="shared" ca="1" si="25"/>
        <v>-1.5285778819042801</v>
      </c>
      <c r="B819" s="124">
        <f t="shared" ca="1" si="24"/>
        <v>-0.20571557638085605</v>
      </c>
    </row>
    <row r="820" spans="1:2" x14ac:dyDescent="0.2">
      <c r="A820" s="108">
        <f t="shared" ca="1" si="25"/>
        <v>0.41548341158315827</v>
      </c>
      <c r="B820" s="124">
        <f t="shared" ca="1" si="24"/>
        <v>0.18309668231663168</v>
      </c>
    </row>
    <row r="821" spans="1:2" x14ac:dyDescent="0.2">
      <c r="A821" s="108">
        <f t="shared" ca="1" si="25"/>
        <v>-8.5964724054254538E-2</v>
      </c>
      <c r="B821" s="124">
        <f t="shared" ca="1" si="24"/>
        <v>8.2807055189149104E-2</v>
      </c>
    </row>
    <row r="822" spans="1:2" x14ac:dyDescent="0.2">
      <c r="A822" s="108">
        <f t="shared" ca="1" si="25"/>
        <v>-2.3929839852630912</v>
      </c>
      <c r="B822" s="124">
        <f t="shared" ca="1" si="24"/>
        <v>-0.37859679705261828</v>
      </c>
    </row>
    <row r="823" spans="1:2" x14ac:dyDescent="0.2">
      <c r="A823" s="108">
        <f t="shared" ca="1" si="25"/>
        <v>-0.56922249792264001</v>
      </c>
      <c r="B823" s="124">
        <f t="shared" ca="1" si="24"/>
        <v>-1.3844499584528006E-2</v>
      </c>
    </row>
    <row r="824" spans="1:2" x14ac:dyDescent="0.2">
      <c r="A824" s="108">
        <f t="shared" ca="1" si="25"/>
        <v>0.85214329791605992</v>
      </c>
      <c r="B824" s="124">
        <f t="shared" ca="1" si="24"/>
        <v>0.27042865958321199</v>
      </c>
    </row>
    <row r="825" spans="1:2" x14ac:dyDescent="0.2">
      <c r="A825" s="108">
        <f t="shared" ca="1" si="25"/>
        <v>-0.92323757485556013</v>
      </c>
      <c r="B825" s="124">
        <f t="shared" ca="1" si="24"/>
        <v>-8.4647514971112031E-2</v>
      </c>
    </row>
    <row r="826" spans="1:2" x14ac:dyDescent="0.2">
      <c r="A826" s="108">
        <f t="shared" ca="1" si="25"/>
        <v>-1.4318999795014684</v>
      </c>
      <c r="B826" s="124">
        <f t="shared" ca="1" si="24"/>
        <v>-0.18637999590029367</v>
      </c>
    </row>
    <row r="827" spans="1:2" x14ac:dyDescent="0.2">
      <c r="A827" s="108">
        <f t="shared" ca="1" si="25"/>
        <v>0.96180997078222452</v>
      </c>
      <c r="B827" s="124">
        <f t="shared" ca="1" si="24"/>
        <v>0.29236199415644493</v>
      </c>
    </row>
    <row r="828" spans="1:2" x14ac:dyDescent="0.2">
      <c r="A828" s="108">
        <f t="shared" ca="1" si="25"/>
        <v>-0.918622978168807</v>
      </c>
      <c r="B828" s="124">
        <f t="shared" ca="1" si="24"/>
        <v>-8.3724595633761417E-2</v>
      </c>
    </row>
    <row r="829" spans="1:2" x14ac:dyDescent="0.2">
      <c r="A829" s="108">
        <f t="shared" ca="1" si="25"/>
        <v>-0.59808957287809794</v>
      </c>
      <c r="B829" s="124">
        <f t="shared" ca="1" si="24"/>
        <v>-1.9617914575619594E-2</v>
      </c>
    </row>
    <row r="830" spans="1:2" x14ac:dyDescent="0.2">
      <c r="A830" s="108">
        <f t="shared" ca="1" si="25"/>
        <v>-0.55369474203528513</v>
      </c>
      <c r="B830" s="124">
        <f t="shared" ca="1" si="24"/>
        <v>-1.0738948407057025E-2</v>
      </c>
    </row>
    <row r="831" spans="1:2" x14ac:dyDescent="0.2">
      <c r="A831" s="108">
        <f t="shared" ca="1" si="25"/>
        <v>0.23096248509109718</v>
      </c>
      <c r="B831" s="124">
        <f t="shared" ca="1" si="24"/>
        <v>0.14619249701821946</v>
      </c>
    </row>
    <row r="832" spans="1:2" x14ac:dyDescent="0.2">
      <c r="A832" s="108">
        <f t="shared" ca="1" si="25"/>
        <v>-9.3504002919597776E-2</v>
      </c>
      <c r="B832" s="124">
        <f t="shared" ca="1" si="24"/>
        <v>8.129919941608045E-2</v>
      </c>
    </row>
    <row r="833" spans="1:2" x14ac:dyDescent="0.2">
      <c r="A833" s="108">
        <f t="shared" ca="1" si="25"/>
        <v>0.1696233368891335</v>
      </c>
      <c r="B833" s="124">
        <f t="shared" ca="1" si="24"/>
        <v>0.13392466737782671</v>
      </c>
    </row>
    <row r="834" spans="1:2" x14ac:dyDescent="0.2">
      <c r="A834" s="108">
        <f t="shared" ca="1" si="25"/>
        <v>0.5885051548932092</v>
      </c>
      <c r="B834" s="124">
        <f t="shared" ca="1" si="24"/>
        <v>0.21770103097864185</v>
      </c>
    </row>
    <row r="835" spans="1:2" x14ac:dyDescent="0.2">
      <c r="A835" s="108">
        <f t="shared" ca="1" si="25"/>
        <v>0.62998130850471223</v>
      </c>
      <c r="B835" s="124">
        <f t="shared" ca="1" si="24"/>
        <v>0.22599626170094245</v>
      </c>
    </row>
    <row r="836" spans="1:2" x14ac:dyDescent="0.2">
      <c r="A836" s="108">
        <f t="shared" ca="1" si="25"/>
        <v>2.8128613112026097E-2</v>
      </c>
      <c r="B836" s="124">
        <f t="shared" ca="1" si="24"/>
        <v>0.10562572262240523</v>
      </c>
    </row>
    <row r="837" spans="1:2" x14ac:dyDescent="0.2">
      <c r="A837" s="108">
        <f t="shared" ca="1" si="25"/>
        <v>-0.11271206870477485</v>
      </c>
      <c r="B837" s="124">
        <f t="shared" ca="1" si="24"/>
        <v>7.745758625904503E-2</v>
      </c>
    </row>
    <row r="838" spans="1:2" x14ac:dyDescent="0.2">
      <c r="A838" s="108">
        <f t="shared" ca="1" si="25"/>
        <v>0.6646026522716475</v>
      </c>
      <c r="B838" s="124">
        <f t="shared" ca="1" si="24"/>
        <v>0.23292053045432951</v>
      </c>
    </row>
    <row r="839" spans="1:2" x14ac:dyDescent="0.2">
      <c r="A839" s="108">
        <f t="shared" ca="1" si="25"/>
        <v>-0.60118904569639742</v>
      </c>
      <c r="B839" s="124">
        <f t="shared" ca="1" si="24"/>
        <v>-2.0237809139279486E-2</v>
      </c>
    </row>
    <row r="840" spans="1:2" x14ac:dyDescent="0.2">
      <c r="A840" s="108">
        <f t="shared" ca="1" si="25"/>
        <v>0.45350618774357293</v>
      </c>
      <c r="B840" s="124">
        <f t="shared" ca="1" si="24"/>
        <v>0.1907012375487146</v>
      </c>
    </row>
    <row r="841" spans="1:2" x14ac:dyDescent="0.2">
      <c r="A841" s="108">
        <f t="shared" ca="1" si="25"/>
        <v>0.61738777071039053</v>
      </c>
      <c r="B841" s="124">
        <f t="shared" ca="1" si="24"/>
        <v>0.22347755414207812</v>
      </c>
    </row>
    <row r="842" spans="1:2" x14ac:dyDescent="0.2">
      <c r="A842" s="108">
        <f t="shared" ca="1" si="25"/>
        <v>0.34001376055984472</v>
      </c>
      <c r="B842" s="124">
        <f t="shared" ref="B842:B905" ca="1" si="26">$C$1+A842*$C$2</f>
        <v>0.16800275211196897</v>
      </c>
    </row>
    <row r="843" spans="1:2" x14ac:dyDescent="0.2">
      <c r="A843" s="108">
        <f t="shared" ref="A843:A906" ca="1" si="27">NORMSINV(RAND())</f>
        <v>1.112328141694823</v>
      </c>
      <c r="B843" s="124">
        <f t="shared" ca="1" si="26"/>
        <v>0.32246562833896464</v>
      </c>
    </row>
    <row r="844" spans="1:2" x14ac:dyDescent="0.2">
      <c r="A844" s="108">
        <f t="shared" ca="1" si="27"/>
        <v>0.87844419068746782</v>
      </c>
      <c r="B844" s="124">
        <f t="shared" ca="1" si="26"/>
        <v>0.27568883813749356</v>
      </c>
    </row>
    <row r="845" spans="1:2" x14ac:dyDescent="0.2">
      <c r="A845" s="108">
        <f t="shared" ca="1" si="27"/>
        <v>0.43276257709922072</v>
      </c>
      <c r="B845" s="124">
        <f t="shared" ca="1" si="26"/>
        <v>0.18655251541984416</v>
      </c>
    </row>
    <row r="846" spans="1:2" x14ac:dyDescent="0.2">
      <c r="A846" s="108">
        <f t="shared" ca="1" si="27"/>
        <v>1.5870672115346394</v>
      </c>
      <c r="B846" s="124">
        <f t="shared" ca="1" si="26"/>
        <v>0.4174134423069279</v>
      </c>
    </row>
    <row r="847" spans="1:2" x14ac:dyDescent="0.2">
      <c r="A847" s="108">
        <f t="shared" ca="1" si="27"/>
        <v>-1.3308945160648513</v>
      </c>
      <c r="B847" s="124">
        <f t="shared" ca="1" si="26"/>
        <v>-0.16617890321297027</v>
      </c>
    </row>
    <row r="848" spans="1:2" x14ac:dyDescent="0.2">
      <c r="A848" s="108">
        <f t="shared" ca="1" si="27"/>
        <v>-1.1577191481083151</v>
      </c>
      <c r="B848" s="124">
        <f t="shared" ca="1" si="26"/>
        <v>-0.13154382962166303</v>
      </c>
    </row>
    <row r="849" spans="1:2" x14ac:dyDescent="0.2">
      <c r="A849" s="108">
        <f t="shared" ca="1" si="27"/>
        <v>0.12815811651378173</v>
      </c>
      <c r="B849" s="124">
        <f t="shared" ca="1" si="26"/>
        <v>0.12563162330275635</v>
      </c>
    </row>
    <row r="850" spans="1:2" x14ac:dyDescent="0.2">
      <c r="A850" s="108">
        <f t="shared" ca="1" si="27"/>
        <v>9.8132487936193266E-2</v>
      </c>
      <c r="B850" s="124">
        <f t="shared" ca="1" si="26"/>
        <v>0.11962649758723866</v>
      </c>
    </row>
    <row r="851" spans="1:2" x14ac:dyDescent="0.2">
      <c r="A851" s="108">
        <f t="shared" ca="1" si="27"/>
        <v>-0.38952259137878131</v>
      </c>
      <c r="B851" s="124">
        <f t="shared" ca="1" si="26"/>
        <v>2.2095481724243735E-2</v>
      </c>
    </row>
    <row r="852" spans="1:2" x14ac:dyDescent="0.2">
      <c r="A852" s="108">
        <f t="shared" ca="1" si="27"/>
        <v>-0.65869688897924283</v>
      </c>
      <c r="B852" s="124">
        <f t="shared" ca="1" si="26"/>
        <v>-3.1739377795848567E-2</v>
      </c>
    </row>
    <row r="853" spans="1:2" x14ac:dyDescent="0.2">
      <c r="A853" s="108">
        <f t="shared" ca="1" si="27"/>
        <v>-0.51491619378004616</v>
      </c>
      <c r="B853" s="124">
        <f t="shared" ca="1" si="26"/>
        <v>-2.9832387560092266E-3</v>
      </c>
    </row>
    <row r="854" spans="1:2" x14ac:dyDescent="0.2">
      <c r="A854" s="108">
        <f t="shared" ca="1" si="27"/>
        <v>0.30855398518836358</v>
      </c>
      <c r="B854" s="124">
        <f t="shared" ca="1" si="26"/>
        <v>0.16171079703767272</v>
      </c>
    </row>
    <row r="855" spans="1:2" x14ac:dyDescent="0.2">
      <c r="A855" s="108">
        <f t="shared" ca="1" si="27"/>
        <v>-0.89214851774616266</v>
      </c>
      <c r="B855" s="124">
        <f t="shared" ca="1" si="26"/>
        <v>-7.8429703549232538E-2</v>
      </c>
    </row>
    <row r="856" spans="1:2" x14ac:dyDescent="0.2">
      <c r="A856" s="108">
        <f t="shared" ca="1" si="27"/>
        <v>1.1118886396086027</v>
      </c>
      <c r="B856" s="124">
        <f t="shared" ca="1" si="26"/>
        <v>0.32237772792172059</v>
      </c>
    </row>
    <row r="857" spans="1:2" x14ac:dyDescent="0.2">
      <c r="A857" s="108">
        <f t="shared" ca="1" si="27"/>
        <v>0.84814972331171867</v>
      </c>
      <c r="B857" s="124">
        <f t="shared" ca="1" si="26"/>
        <v>0.26962994466234375</v>
      </c>
    </row>
    <row r="858" spans="1:2" x14ac:dyDescent="0.2">
      <c r="A858" s="108">
        <f t="shared" ca="1" si="27"/>
        <v>1.9672853534863783</v>
      </c>
      <c r="B858" s="124">
        <f t="shared" ca="1" si="26"/>
        <v>0.49345707069727573</v>
      </c>
    </row>
    <row r="859" spans="1:2" x14ac:dyDescent="0.2">
      <c r="A859" s="108">
        <f t="shared" ca="1" si="27"/>
        <v>-0.22257641359597333</v>
      </c>
      <c r="B859" s="124">
        <f t="shared" ca="1" si="26"/>
        <v>5.548471728080534E-2</v>
      </c>
    </row>
    <row r="860" spans="1:2" x14ac:dyDescent="0.2">
      <c r="A860" s="108">
        <f t="shared" ca="1" si="27"/>
        <v>1.182787558914284</v>
      </c>
      <c r="B860" s="124">
        <f t="shared" ca="1" si="26"/>
        <v>0.33655751178285681</v>
      </c>
    </row>
    <row r="861" spans="1:2" x14ac:dyDescent="0.2">
      <c r="A861" s="108">
        <f t="shared" ca="1" si="27"/>
        <v>1.9171258570090004</v>
      </c>
      <c r="B861" s="124">
        <f t="shared" ca="1" si="26"/>
        <v>0.48342517140180008</v>
      </c>
    </row>
    <row r="862" spans="1:2" x14ac:dyDescent="0.2">
      <c r="A862" s="108">
        <f t="shared" ca="1" si="27"/>
        <v>-1.1410747311729985</v>
      </c>
      <c r="B862" s="124">
        <f t="shared" ca="1" si="26"/>
        <v>-0.1282149462345997</v>
      </c>
    </row>
    <row r="863" spans="1:2" x14ac:dyDescent="0.2">
      <c r="A863" s="108">
        <f t="shared" ca="1" si="27"/>
        <v>1.3449157601200783</v>
      </c>
      <c r="B863" s="124">
        <f t="shared" ca="1" si="26"/>
        <v>0.36898315202401566</v>
      </c>
    </row>
    <row r="864" spans="1:2" x14ac:dyDescent="0.2">
      <c r="A864" s="108">
        <f t="shared" ca="1" si="27"/>
        <v>-1.0392574414074025</v>
      </c>
      <c r="B864" s="124">
        <f t="shared" ca="1" si="26"/>
        <v>-0.1078514882814805</v>
      </c>
    </row>
    <row r="865" spans="1:2" x14ac:dyDescent="0.2">
      <c r="A865" s="108">
        <f t="shared" ca="1" si="27"/>
        <v>-0.83148037885247728</v>
      </c>
      <c r="B865" s="124">
        <f t="shared" ca="1" si="26"/>
        <v>-6.6296075770495455E-2</v>
      </c>
    </row>
    <row r="866" spans="1:2" x14ac:dyDescent="0.2">
      <c r="A866" s="108">
        <f t="shared" ca="1" si="27"/>
        <v>2.2051620328099415</v>
      </c>
      <c r="B866" s="124">
        <f t="shared" ca="1" si="26"/>
        <v>0.54103240656198837</v>
      </c>
    </row>
    <row r="867" spans="1:2" x14ac:dyDescent="0.2">
      <c r="A867" s="108">
        <f t="shared" ca="1" si="27"/>
        <v>0.50968561172100002</v>
      </c>
      <c r="B867" s="124">
        <f t="shared" ca="1" si="26"/>
        <v>0.20193712234420003</v>
      </c>
    </row>
    <row r="868" spans="1:2" x14ac:dyDescent="0.2">
      <c r="A868" s="108">
        <f t="shared" ca="1" si="27"/>
        <v>-0.5830997771243861</v>
      </c>
      <c r="B868" s="124">
        <f t="shared" ca="1" si="26"/>
        <v>-1.6619955424877222E-2</v>
      </c>
    </row>
    <row r="869" spans="1:2" x14ac:dyDescent="0.2">
      <c r="A869" s="108">
        <f t="shared" ca="1" si="27"/>
        <v>-1.1268947140517696</v>
      </c>
      <c r="B869" s="124">
        <f t="shared" ca="1" si="26"/>
        <v>-0.12537894281035392</v>
      </c>
    </row>
    <row r="870" spans="1:2" x14ac:dyDescent="0.2">
      <c r="A870" s="108">
        <f t="shared" ca="1" si="27"/>
        <v>0.86594647988642748</v>
      </c>
      <c r="B870" s="124">
        <f t="shared" ca="1" si="26"/>
        <v>0.27318929597728547</v>
      </c>
    </row>
    <row r="871" spans="1:2" x14ac:dyDescent="0.2">
      <c r="A871" s="108">
        <f t="shared" ca="1" si="27"/>
        <v>1.034994334901399</v>
      </c>
      <c r="B871" s="124">
        <f t="shared" ca="1" si="26"/>
        <v>0.30699886698027978</v>
      </c>
    </row>
    <row r="872" spans="1:2" x14ac:dyDescent="0.2">
      <c r="A872" s="108">
        <f t="shared" ca="1" si="27"/>
        <v>1.0979494988789216</v>
      </c>
      <c r="B872" s="124">
        <f t="shared" ca="1" si="26"/>
        <v>0.31958989977578434</v>
      </c>
    </row>
    <row r="873" spans="1:2" x14ac:dyDescent="0.2">
      <c r="A873" s="108">
        <f t="shared" ca="1" si="27"/>
        <v>0.77937504333145824</v>
      </c>
      <c r="B873" s="124">
        <f t="shared" ca="1" si="26"/>
        <v>0.25587500866629165</v>
      </c>
    </row>
    <row r="874" spans="1:2" x14ac:dyDescent="0.2">
      <c r="A874" s="108">
        <f t="shared" ca="1" si="27"/>
        <v>-0.99856632132498202</v>
      </c>
      <c r="B874" s="124">
        <f t="shared" ca="1" si="26"/>
        <v>-9.971326426499641E-2</v>
      </c>
    </row>
    <row r="875" spans="1:2" x14ac:dyDescent="0.2">
      <c r="A875" s="108">
        <f t="shared" ca="1" si="27"/>
        <v>-0.10609013956960291</v>
      </c>
      <c r="B875" s="124">
        <f t="shared" ca="1" si="26"/>
        <v>7.8781972086079427E-2</v>
      </c>
    </row>
    <row r="876" spans="1:2" x14ac:dyDescent="0.2">
      <c r="A876" s="108">
        <f t="shared" ca="1" si="27"/>
        <v>0.31996221397187247</v>
      </c>
      <c r="B876" s="124">
        <f t="shared" ca="1" si="26"/>
        <v>0.1639924427943745</v>
      </c>
    </row>
    <row r="877" spans="1:2" x14ac:dyDescent="0.2">
      <c r="A877" s="108">
        <f t="shared" ca="1" si="27"/>
        <v>0.79789461457026756</v>
      </c>
      <c r="B877" s="124">
        <f t="shared" ca="1" si="26"/>
        <v>0.25957892291405349</v>
      </c>
    </row>
    <row r="878" spans="1:2" x14ac:dyDescent="0.2">
      <c r="A878" s="108">
        <f t="shared" ca="1" si="27"/>
        <v>-0.32204738911161629</v>
      </c>
      <c r="B878" s="124">
        <f t="shared" ca="1" si="26"/>
        <v>3.5590522177676748E-2</v>
      </c>
    </row>
    <row r="879" spans="1:2" x14ac:dyDescent="0.2">
      <c r="A879" s="108">
        <f t="shared" ca="1" si="27"/>
        <v>0.67958970095958959</v>
      </c>
      <c r="B879" s="124">
        <f t="shared" ca="1" si="26"/>
        <v>0.23591794019191792</v>
      </c>
    </row>
    <row r="880" spans="1:2" x14ac:dyDescent="0.2">
      <c r="A880" s="108">
        <f t="shared" ca="1" si="27"/>
        <v>1.7207345148280104</v>
      </c>
      <c r="B880" s="124">
        <f t="shared" ca="1" si="26"/>
        <v>0.44414690296560211</v>
      </c>
    </row>
    <row r="881" spans="1:2" x14ac:dyDescent="0.2">
      <c r="A881" s="108">
        <f t="shared" ca="1" si="27"/>
        <v>1.6535262641170481</v>
      </c>
      <c r="B881" s="124">
        <f t="shared" ca="1" si="26"/>
        <v>0.43070525282340966</v>
      </c>
    </row>
    <row r="882" spans="1:2" x14ac:dyDescent="0.2">
      <c r="A882" s="108">
        <f t="shared" ca="1" si="27"/>
        <v>0.27213766806097378</v>
      </c>
      <c r="B882" s="124">
        <f t="shared" ca="1" si="26"/>
        <v>0.15442753361219477</v>
      </c>
    </row>
    <row r="883" spans="1:2" x14ac:dyDescent="0.2">
      <c r="A883" s="108">
        <f t="shared" ca="1" si="27"/>
        <v>1.3987295614091864</v>
      </c>
      <c r="B883" s="124">
        <f t="shared" ca="1" si="26"/>
        <v>0.37974591228183729</v>
      </c>
    </row>
    <row r="884" spans="1:2" x14ac:dyDescent="0.2">
      <c r="A884" s="108">
        <f t="shared" ca="1" si="27"/>
        <v>-0.37853782670514496</v>
      </c>
      <c r="B884" s="124">
        <f t="shared" ca="1" si="26"/>
        <v>2.4292434658971004E-2</v>
      </c>
    </row>
    <row r="885" spans="1:2" x14ac:dyDescent="0.2">
      <c r="A885" s="108">
        <f t="shared" ca="1" si="27"/>
        <v>0.11119791239825096</v>
      </c>
      <c r="B885" s="124">
        <f t="shared" ca="1" si="26"/>
        <v>0.12223958247965019</v>
      </c>
    </row>
    <row r="886" spans="1:2" x14ac:dyDescent="0.2">
      <c r="A886" s="108">
        <f t="shared" ca="1" si="27"/>
        <v>0.94543590867696325</v>
      </c>
      <c r="B886" s="124">
        <f t="shared" ca="1" si="26"/>
        <v>0.28908718173539266</v>
      </c>
    </row>
    <row r="887" spans="1:2" x14ac:dyDescent="0.2">
      <c r="A887" s="108">
        <f t="shared" ca="1" si="27"/>
        <v>1.8932569617634478</v>
      </c>
      <c r="B887" s="124">
        <f t="shared" ca="1" si="26"/>
        <v>0.47865139235268961</v>
      </c>
    </row>
    <row r="888" spans="1:2" x14ac:dyDescent="0.2">
      <c r="A888" s="108">
        <f t="shared" ca="1" si="27"/>
        <v>-0.68814619372695229</v>
      </c>
      <c r="B888" s="124">
        <f t="shared" ca="1" si="26"/>
        <v>-3.7629238745390453E-2</v>
      </c>
    </row>
    <row r="889" spans="1:2" x14ac:dyDescent="0.2">
      <c r="A889" s="108">
        <f t="shared" ca="1" si="27"/>
        <v>1.155786362576311</v>
      </c>
      <c r="B889" s="124">
        <f t="shared" ca="1" si="26"/>
        <v>0.33115727251526217</v>
      </c>
    </row>
    <row r="890" spans="1:2" x14ac:dyDescent="0.2">
      <c r="A890" s="108">
        <f t="shared" ca="1" si="27"/>
        <v>-0.68982569069843347</v>
      </c>
      <c r="B890" s="124">
        <f t="shared" ca="1" si="26"/>
        <v>-3.7965138139686688E-2</v>
      </c>
    </row>
    <row r="891" spans="1:2" x14ac:dyDescent="0.2">
      <c r="A891" s="108">
        <f t="shared" ca="1" si="27"/>
        <v>0.5002933157030961</v>
      </c>
      <c r="B891" s="124">
        <f t="shared" ca="1" si="26"/>
        <v>0.20005866314061924</v>
      </c>
    </row>
    <row r="892" spans="1:2" x14ac:dyDescent="0.2">
      <c r="A892" s="108">
        <f t="shared" ca="1" si="27"/>
        <v>-1.5892889304936677</v>
      </c>
      <c r="B892" s="124">
        <f t="shared" ca="1" si="26"/>
        <v>-0.21785778609873355</v>
      </c>
    </row>
    <row r="893" spans="1:2" x14ac:dyDescent="0.2">
      <c r="A893" s="108">
        <f t="shared" ca="1" si="27"/>
        <v>0.50247560967652793</v>
      </c>
      <c r="B893" s="124">
        <f t="shared" ca="1" si="26"/>
        <v>0.20049512193530561</v>
      </c>
    </row>
    <row r="894" spans="1:2" x14ac:dyDescent="0.2">
      <c r="A894" s="108">
        <f t="shared" ca="1" si="27"/>
        <v>-0.34399965342293537</v>
      </c>
      <c r="B894" s="124">
        <f t="shared" ca="1" si="26"/>
        <v>3.1200069315412929E-2</v>
      </c>
    </row>
    <row r="895" spans="1:2" x14ac:dyDescent="0.2">
      <c r="A895" s="108">
        <f t="shared" ca="1" si="27"/>
        <v>-0.46984832441416191</v>
      </c>
      <c r="B895" s="124">
        <f t="shared" ca="1" si="26"/>
        <v>6.0303351171676206E-3</v>
      </c>
    </row>
    <row r="896" spans="1:2" x14ac:dyDescent="0.2">
      <c r="A896" s="108">
        <f t="shared" ca="1" si="27"/>
        <v>1.8459051027352056</v>
      </c>
      <c r="B896" s="124">
        <f t="shared" ca="1" si="26"/>
        <v>0.46918102054704114</v>
      </c>
    </row>
    <row r="897" spans="1:2" x14ac:dyDescent="0.2">
      <c r="A897" s="108">
        <f t="shared" ca="1" si="27"/>
        <v>0.64758937101855463</v>
      </c>
      <c r="B897" s="124">
        <f t="shared" ca="1" si="26"/>
        <v>0.22951787420371095</v>
      </c>
    </row>
    <row r="898" spans="1:2" x14ac:dyDescent="0.2">
      <c r="A898" s="108">
        <f t="shared" ca="1" si="27"/>
        <v>1.8113436497593005</v>
      </c>
      <c r="B898" s="124">
        <f t="shared" ca="1" si="26"/>
        <v>0.46226872995186008</v>
      </c>
    </row>
    <row r="899" spans="1:2" x14ac:dyDescent="0.2">
      <c r="A899" s="108">
        <f t="shared" ca="1" si="27"/>
        <v>0.13618034749196745</v>
      </c>
      <c r="B899" s="124">
        <f t="shared" ca="1" si="26"/>
        <v>0.1272360694983935</v>
      </c>
    </row>
    <row r="900" spans="1:2" x14ac:dyDescent="0.2">
      <c r="A900" s="108">
        <f t="shared" ca="1" si="27"/>
        <v>-1.4399462452613268</v>
      </c>
      <c r="B900" s="124">
        <f t="shared" ca="1" si="26"/>
        <v>-0.18798924905226536</v>
      </c>
    </row>
    <row r="901" spans="1:2" x14ac:dyDescent="0.2">
      <c r="A901" s="108">
        <f t="shared" ca="1" si="27"/>
        <v>1.5946850021883046</v>
      </c>
      <c r="B901" s="124">
        <f t="shared" ca="1" si="26"/>
        <v>0.41893700043766091</v>
      </c>
    </row>
    <row r="902" spans="1:2" x14ac:dyDescent="0.2">
      <c r="A902" s="108">
        <f t="shared" ca="1" si="27"/>
        <v>-1.6630998196165747</v>
      </c>
      <c r="B902" s="124">
        <f t="shared" ca="1" si="26"/>
        <v>-0.23261996392331494</v>
      </c>
    </row>
    <row r="903" spans="1:2" x14ac:dyDescent="0.2">
      <c r="A903" s="108">
        <f t="shared" ca="1" si="27"/>
        <v>-0.53929238790264156</v>
      </c>
      <c r="B903" s="124">
        <f t="shared" ca="1" si="26"/>
        <v>-7.8584775805283086E-3</v>
      </c>
    </row>
    <row r="904" spans="1:2" x14ac:dyDescent="0.2">
      <c r="A904" s="108">
        <f t="shared" ca="1" si="27"/>
        <v>0.68355532862907631</v>
      </c>
      <c r="B904" s="124">
        <f t="shared" ca="1" si="26"/>
        <v>0.23671106572581527</v>
      </c>
    </row>
    <row r="905" spans="1:2" x14ac:dyDescent="0.2">
      <c r="A905" s="108">
        <f t="shared" ca="1" si="27"/>
        <v>-0.20300823457968514</v>
      </c>
      <c r="B905" s="124">
        <f t="shared" ca="1" si="26"/>
        <v>5.9398353084062973E-2</v>
      </c>
    </row>
    <row r="906" spans="1:2" x14ac:dyDescent="0.2">
      <c r="A906" s="108">
        <f t="shared" ca="1" si="27"/>
        <v>-1.345325672351624</v>
      </c>
      <c r="B906" s="124">
        <f t="shared" ref="B906:B969" ca="1" si="28">$C$1+A906*$C$2</f>
        <v>-0.16906513447032481</v>
      </c>
    </row>
    <row r="907" spans="1:2" x14ac:dyDescent="0.2">
      <c r="A907" s="108">
        <f t="shared" ref="A907:A970" ca="1" si="29">NORMSINV(RAND())</f>
        <v>-1.7313745181730491</v>
      </c>
      <c r="B907" s="124">
        <f t="shared" ca="1" si="28"/>
        <v>-0.24627490363460983</v>
      </c>
    </row>
    <row r="908" spans="1:2" x14ac:dyDescent="0.2">
      <c r="A908" s="108">
        <f t="shared" ca="1" si="29"/>
        <v>-1.2894614930809172</v>
      </c>
      <c r="B908" s="124">
        <f t="shared" ca="1" si="28"/>
        <v>-0.15789229861618345</v>
      </c>
    </row>
    <row r="909" spans="1:2" x14ac:dyDescent="0.2">
      <c r="A909" s="108">
        <f t="shared" ca="1" si="29"/>
        <v>0.18276766436896194</v>
      </c>
      <c r="B909" s="124">
        <f t="shared" ca="1" si="28"/>
        <v>0.1365535328737924</v>
      </c>
    </row>
    <row r="910" spans="1:2" x14ac:dyDescent="0.2">
      <c r="A910" s="108">
        <f t="shared" ca="1" si="29"/>
        <v>-1.7673732037840824</v>
      </c>
      <c r="B910" s="124">
        <f t="shared" ca="1" si="28"/>
        <v>-0.25347464075681647</v>
      </c>
    </row>
    <row r="911" spans="1:2" x14ac:dyDescent="0.2">
      <c r="A911" s="108">
        <f t="shared" ca="1" si="29"/>
        <v>-0.39302279990437416</v>
      </c>
      <c r="B911" s="124">
        <f t="shared" ca="1" si="28"/>
        <v>2.1395440019125161E-2</v>
      </c>
    </row>
    <row r="912" spans="1:2" x14ac:dyDescent="0.2">
      <c r="A912" s="108">
        <f t="shared" ca="1" si="29"/>
        <v>-0.30134870685228371</v>
      </c>
      <c r="B912" s="124">
        <f t="shared" ca="1" si="28"/>
        <v>3.9730258629543262E-2</v>
      </c>
    </row>
    <row r="913" spans="1:2" x14ac:dyDescent="0.2">
      <c r="A913" s="108">
        <f t="shared" ca="1" si="29"/>
        <v>1.9862081177190107</v>
      </c>
      <c r="B913" s="124">
        <f t="shared" ca="1" si="28"/>
        <v>0.49724162354380219</v>
      </c>
    </row>
    <row r="914" spans="1:2" x14ac:dyDescent="0.2">
      <c r="A914" s="108">
        <f t="shared" ca="1" si="29"/>
        <v>-0.27256291095949325</v>
      </c>
      <c r="B914" s="124">
        <f t="shared" ca="1" si="28"/>
        <v>4.5487417808101352E-2</v>
      </c>
    </row>
    <row r="915" spans="1:2" x14ac:dyDescent="0.2">
      <c r="A915" s="108">
        <f t="shared" ca="1" si="29"/>
        <v>1.0669008194278953</v>
      </c>
      <c r="B915" s="124">
        <f t="shared" ca="1" si="28"/>
        <v>0.3133801638855791</v>
      </c>
    </row>
    <row r="916" spans="1:2" x14ac:dyDescent="0.2">
      <c r="A916" s="108">
        <f t="shared" ca="1" si="29"/>
        <v>0.1175644477121497</v>
      </c>
      <c r="B916" s="124">
        <f t="shared" ca="1" si="28"/>
        <v>0.12351288954242995</v>
      </c>
    </row>
    <row r="917" spans="1:2" x14ac:dyDescent="0.2">
      <c r="A917" s="108">
        <f t="shared" ca="1" si="29"/>
        <v>0.31944618189419721</v>
      </c>
      <c r="B917" s="124">
        <f t="shared" ca="1" si="28"/>
        <v>0.16388923637883945</v>
      </c>
    </row>
    <row r="918" spans="1:2" x14ac:dyDescent="0.2">
      <c r="A918" s="108">
        <f t="shared" ca="1" si="29"/>
        <v>0.34749262495569122</v>
      </c>
      <c r="B918" s="124">
        <f t="shared" ca="1" si="28"/>
        <v>0.16949852499113827</v>
      </c>
    </row>
    <row r="919" spans="1:2" x14ac:dyDescent="0.2">
      <c r="A919" s="108">
        <f t="shared" ca="1" si="29"/>
        <v>0.33135711110120941</v>
      </c>
      <c r="B919" s="124">
        <f t="shared" ca="1" si="28"/>
        <v>0.16627142222024188</v>
      </c>
    </row>
    <row r="920" spans="1:2" x14ac:dyDescent="0.2">
      <c r="A920" s="108">
        <f t="shared" ca="1" si="29"/>
        <v>-1.8664303695853315</v>
      </c>
      <c r="B920" s="124">
        <f t="shared" ca="1" si="28"/>
        <v>-0.27328607391706627</v>
      </c>
    </row>
    <row r="921" spans="1:2" x14ac:dyDescent="0.2">
      <c r="A921" s="108">
        <f t="shared" ca="1" si="29"/>
        <v>-1.492853233163254</v>
      </c>
      <c r="B921" s="124">
        <f t="shared" ca="1" si="28"/>
        <v>-0.19857064663265081</v>
      </c>
    </row>
    <row r="922" spans="1:2" x14ac:dyDescent="0.2">
      <c r="A922" s="108">
        <f t="shared" ca="1" si="29"/>
        <v>2.2412915528054058</v>
      </c>
      <c r="B922" s="124">
        <f t="shared" ca="1" si="28"/>
        <v>0.54825831056108121</v>
      </c>
    </row>
    <row r="923" spans="1:2" x14ac:dyDescent="0.2">
      <c r="A923" s="108">
        <f t="shared" ca="1" si="29"/>
        <v>-1.3065642629049328</v>
      </c>
      <c r="B923" s="124">
        <f t="shared" ca="1" si="28"/>
        <v>-0.16131285258098657</v>
      </c>
    </row>
    <row r="924" spans="1:2" x14ac:dyDescent="0.2">
      <c r="A924" s="108">
        <f t="shared" ca="1" si="29"/>
        <v>1.7483831224483843</v>
      </c>
      <c r="B924" s="124">
        <f t="shared" ca="1" si="28"/>
        <v>0.44967662448967693</v>
      </c>
    </row>
    <row r="925" spans="1:2" x14ac:dyDescent="0.2">
      <c r="A925" s="108">
        <f t="shared" ca="1" si="29"/>
        <v>1.4281642907173508</v>
      </c>
      <c r="B925" s="124">
        <f t="shared" ca="1" si="28"/>
        <v>0.38563285814347015</v>
      </c>
    </row>
    <row r="926" spans="1:2" x14ac:dyDescent="0.2">
      <c r="A926" s="108">
        <f t="shared" ca="1" si="29"/>
        <v>0.54987309358550951</v>
      </c>
      <c r="B926" s="124">
        <f t="shared" ca="1" si="28"/>
        <v>0.20997461871710191</v>
      </c>
    </row>
    <row r="927" spans="1:2" x14ac:dyDescent="0.2">
      <c r="A927" s="108">
        <f t="shared" ca="1" si="29"/>
        <v>-0.73280155365425137</v>
      </c>
      <c r="B927" s="124">
        <f t="shared" ca="1" si="28"/>
        <v>-4.6560310730850263E-2</v>
      </c>
    </row>
    <row r="928" spans="1:2" x14ac:dyDescent="0.2">
      <c r="A928" s="108">
        <f t="shared" ca="1" si="29"/>
        <v>-3.3612786571502955E-2</v>
      </c>
      <c r="B928" s="124">
        <f t="shared" ca="1" si="28"/>
        <v>9.3277442685699416E-2</v>
      </c>
    </row>
    <row r="929" spans="1:2" x14ac:dyDescent="0.2">
      <c r="A929" s="108">
        <f t="shared" ca="1" si="29"/>
        <v>1.0176605947457693</v>
      </c>
      <c r="B929" s="124">
        <f t="shared" ca="1" si="28"/>
        <v>0.30353211894915388</v>
      </c>
    </row>
    <row r="930" spans="1:2" x14ac:dyDescent="0.2">
      <c r="A930" s="108">
        <f t="shared" ca="1" si="29"/>
        <v>0.23044041476894606</v>
      </c>
      <c r="B930" s="124">
        <f t="shared" ca="1" si="28"/>
        <v>0.14608808295378922</v>
      </c>
    </row>
    <row r="931" spans="1:2" x14ac:dyDescent="0.2">
      <c r="A931" s="108">
        <f t="shared" ca="1" si="29"/>
        <v>-2.3979306116550515E-2</v>
      </c>
      <c r="B931" s="124">
        <f t="shared" ca="1" si="28"/>
        <v>9.5204138776689901E-2</v>
      </c>
    </row>
    <row r="932" spans="1:2" x14ac:dyDescent="0.2">
      <c r="A932" s="108">
        <f t="shared" ca="1" si="29"/>
        <v>0.3909137641702996</v>
      </c>
      <c r="B932" s="124">
        <f t="shared" ca="1" si="28"/>
        <v>0.17818275283405993</v>
      </c>
    </row>
    <row r="933" spans="1:2" x14ac:dyDescent="0.2">
      <c r="A933" s="108">
        <f t="shared" ca="1" si="29"/>
        <v>-0.4683980145301147</v>
      </c>
      <c r="B933" s="124">
        <f t="shared" ca="1" si="28"/>
        <v>6.3203970939770537E-3</v>
      </c>
    </row>
    <row r="934" spans="1:2" x14ac:dyDescent="0.2">
      <c r="A934" s="108">
        <f t="shared" ca="1" si="29"/>
        <v>-0.38034580384202438</v>
      </c>
      <c r="B934" s="124">
        <f t="shared" ca="1" si="28"/>
        <v>2.3930839231595127E-2</v>
      </c>
    </row>
    <row r="935" spans="1:2" x14ac:dyDescent="0.2">
      <c r="A935" s="108">
        <f t="shared" ca="1" si="29"/>
        <v>0.3653652570630459</v>
      </c>
      <c r="B935" s="124">
        <f t="shared" ca="1" si="28"/>
        <v>0.1730730514126092</v>
      </c>
    </row>
    <row r="936" spans="1:2" x14ac:dyDescent="0.2">
      <c r="A936" s="108">
        <f t="shared" ca="1" si="29"/>
        <v>0.82518583627088393</v>
      </c>
      <c r="B936" s="124">
        <f t="shared" ca="1" si="28"/>
        <v>0.26503716725417681</v>
      </c>
    </row>
    <row r="937" spans="1:2" x14ac:dyDescent="0.2">
      <c r="A937" s="108">
        <f t="shared" ca="1" si="29"/>
        <v>-0.19314595226134684</v>
      </c>
      <c r="B937" s="124">
        <f t="shared" ca="1" si="28"/>
        <v>6.1370809547730637E-2</v>
      </c>
    </row>
    <row r="938" spans="1:2" x14ac:dyDescent="0.2">
      <c r="A938" s="108">
        <f t="shared" ca="1" si="29"/>
        <v>-1.4331812294401327</v>
      </c>
      <c r="B938" s="124">
        <f t="shared" ca="1" si="28"/>
        <v>-0.18663624588802655</v>
      </c>
    </row>
    <row r="939" spans="1:2" x14ac:dyDescent="0.2">
      <c r="A939" s="108">
        <f t="shared" ca="1" si="29"/>
        <v>-1.2356138498502387</v>
      </c>
      <c r="B939" s="124">
        <f t="shared" ca="1" si="28"/>
        <v>-0.14712276997004775</v>
      </c>
    </row>
    <row r="940" spans="1:2" x14ac:dyDescent="0.2">
      <c r="A940" s="108">
        <f t="shared" ca="1" si="29"/>
        <v>-1.5647710882389403</v>
      </c>
      <c r="B940" s="124">
        <f t="shared" ca="1" si="28"/>
        <v>-0.21295421764778807</v>
      </c>
    </row>
    <row r="941" spans="1:2" x14ac:dyDescent="0.2">
      <c r="A941" s="108">
        <f t="shared" ca="1" si="29"/>
        <v>0.36089483953409268</v>
      </c>
      <c r="B941" s="124">
        <f t="shared" ca="1" si="28"/>
        <v>0.17217896790681853</v>
      </c>
    </row>
    <row r="942" spans="1:2" x14ac:dyDescent="0.2">
      <c r="A942" s="108">
        <f t="shared" ca="1" si="29"/>
        <v>6.7145380919422445E-2</v>
      </c>
      <c r="B942" s="124">
        <f t="shared" ca="1" si="28"/>
        <v>0.11342907618388449</v>
      </c>
    </row>
    <row r="943" spans="1:2" x14ac:dyDescent="0.2">
      <c r="A943" s="108">
        <f t="shared" ca="1" si="29"/>
        <v>0.49123167714206162</v>
      </c>
      <c r="B943" s="124">
        <f t="shared" ca="1" si="28"/>
        <v>0.19824633542841233</v>
      </c>
    </row>
    <row r="944" spans="1:2" x14ac:dyDescent="0.2">
      <c r="A944" s="108">
        <f t="shared" ca="1" si="29"/>
        <v>-0.92897414923462995</v>
      </c>
      <c r="B944" s="124">
        <f t="shared" ca="1" si="28"/>
        <v>-8.5794829846925991E-2</v>
      </c>
    </row>
    <row r="945" spans="1:2" x14ac:dyDescent="0.2">
      <c r="A945" s="108">
        <f t="shared" ca="1" si="29"/>
        <v>1.0220025448700794</v>
      </c>
      <c r="B945" s="124">
        <f t="shared" ca="1" si="28"/>
        <v>0.30440050897401588</v>
      </c>
    </row>
    <row r="946" spans="1:2" x14ac:dyDescent="0.2">
      <c r="A946" s="108">
        <f t="shared" ca="1" si="29"/>
        <v>-0.24817880802977507</v>
      </c>
      <c r="B946" s="124">
        <f t="shared" ca="1" si="28"/>
        <v>5.036423839404499E-2</v>
      </c>
    </row>
    <row r="947" spans="1:2" x14ac:dyDescent="0.2">
      <c r="A947" s="108">
        <f t="shared" ca="1" si="29"/>
        <v>0.47952294286238484</v>
      </c>
      <c r="B947" s="124">
        <f t="shared" ca="1" si="28"/>
        <v>0.19590458857247697</v>
      </c>
    </row>
    <row r="948" spans="1:2" x14ac:dyDescent="0.2">
      <c r="A948" s="108">
        <f t="shared" ca="1" si="29"/>
        <v>-0.34257162175342665</v>
      </c>
      <c r="B948" s="124">
        <f t="shared" ca="1" si="28"/>
        <v>3.1485675649314676E-2</v>
      </c>
    </row>
    <row r="949" spans="1:2" x14ac:dyDescent="0.2">
      <c r="A949" s="108">
        <f t="shared" ca="1" si="29"/>
        <v>-1.3255357196067772</v>
      </c>
      <c r="B949" s="124">
        <f t="shared" ca="1" si="28"/>
        <v>-0.16510714392135542</v>
      </c>
    </row>
    <row r="950" spans="1:2" x14ac:dyDescent="0.2">
      <c r="A950" s="108">
        <f t="shared" ca="1" si="29"/>
        <v>-0.98447534913357349</v>
      </c>
      <c r="B950" s="124">
        <f t="shared" ca="1" si="28"/>
        <v>-9.6895069826714697E-2</v>
      </c>
    </row>
    <row r="951" spans="1:2" x14ac:dyDescent="0.2">
      <c r="A951" s="108">
        <f t="shared" ca="1" si="29"/>
        <v>-1.0771047416652213</v>
      </c>
      <c r="B951" s="124">
        <f t="shared" ca="1" si="28"/>
        <v>-0.11542094833304425</v>
      </c>
    </row>
    <row r="952" spans="1:2" x14ac:dyDescent="0.2">
      <c r="A952" s="108">
        <f t="shared" ca="1" si="29"/>
        <v>0.2248274746018479</v>
      </c>
      <c r="B952" s="124">
        <f t="shared" ca="1" si="28"/>
        <v>0.14496549492036959</v>
      </c>
    </row>
    <row r="953" spans="1:2" x14ac:dyDescent="0.2">
      <c r="A953" s="108">
        <f t="shared" ca="1" si="29"/>
        <v>-1.135292872863251</v>
      </c>
      <c r="B953" s="124">
        <f t="shared" ca="1" si="28"/>
        <v>-0.12705857457265021</v>
      </c>
    </row>
    <row r="954" spans="1:2" x14ac:dyDescent="0.2">
      <c r="A954" s="108">
        <f t="shared" ca="1" si="29"/>
        <v>-1.1634039210096769</v>
      </c>
      <c r="B954" s="124">
        <f t="shared" ca="1" si="28"/>
        <v>-0.13268078420193538</v>
      </c>
    </row>
    <row r="955" spans="1:2" x14ac:dyDescent="0.2">
      <c r="A955" s="108">
        <f t="shared" ca="1" si="29"/>
        <v>1.3461989179127045</v>
      </c>
      <c r="B955" s="124">
        <f t="shared" ca="1" si="28"/>
        <v>0.36923978358254095</v>
      </c>
    </row>
    <row r="956" spans="1:2" x14ac:dyDescent="0.2">
      <c r="A956" s="108">
        <f t="shared" ca="1" si="29"/>
        <v>1.7835768883232901</v>
      </c>
      <c r="B956" s="124">
        <f t="shared" ca="1" si="28"/>
        <v>0.45671537766465808</v>
      </c>
    </row>
    <row r="957" spans="1:2" x14ac:dyDescent="0.2">
      <c r="A957" s="108">
        <f t="shared" ca="1" si="29"/>
        <v>-8.2652488471756297E-2</v>
      </c>
      <c r="B957" s="124">
        <f t="shared" ca="1" si="28"/>
        <v>8.3469502305648743E-2</v>
      </c>
    </row>
    <row r="958" spans="1:2" x14ac:dyDescent="0.2">
      <c r="A958" s="108">
        <f t="shared" ca="1" si="29"/>
        <v>0.88577015174290796</v>
      </c>
      <c r="B958" s="124">
        <f t="shared" ca="1" si="28"/>
        <v>0.2771540303485816</v>
      </c>
    </row>
    <row r="959" spans="1:2" x14ac:dyDescent="0.2">
      <c r="A959" s="108">
        <f t="shared" ca="1" si="29"/>
        <v>1.2546162736249971</v>
      </c>
      <c r="B959" s="124">
        <f t="shared" ca="1" si="28"/>
        <v>0.35092325472499941</v>
      </c>
    </row>
    <row r="960" spans="1:2" x14ac:dyDescent="0.2">
      <c r="A960" s="108">
        <f t="shared" ca="1" si="29"/>
        <v>-1.1427641821574426</v>
      </c>
      <c r="B960" s="124">
        <f t="shared" ca="1" si="28"/>
        <v>-0.12855283643148852</v>
      </c>
    </row>
    <row r="961" spans="1:2" x14ac:dyDescent="0.2">
      <c r="A961" s="108">
        <f t="shared" ca="1" si="29"/>
        <v>0.24916878528294684</v>
      </c>
      <c r="B961" s="124">
        <f t="shared" ca="1" si="28"/>
        <v>0.14983375705658938</v>
      </c>
    </row>
    <row r="962" spans="1:2" x14ac:dyDescent="0.2">
      <c r="A962" s="108">
        <f t="shared" ca="1" si="29"/>
        <v>-0.62539755890799842</v>
      </c>
      <c r="B962" s="124">
        <f t="shared" ca="1" si="28"/>
        <v>-2.5079511781599673E-2</v>
      </c>
    </row>
    <row r="963" spans="1:2" x14ac:dyDescent="0.2">
      <c r="A963" s="108">
        <f t="shared" ca="1" si="29"/>
        <v>4.6467474733141003E-3</v>
      </c>
      <c r="B963" s="124">
        <f t="shared" ca="1" si="28"/>
        <v>0.10092934949466283</v>
      </c>
    </row>
    <row r="964" spans="1:2" x14ac:dyDescent="0.2">
      <c r="A964" s="108">
        <f t="shared" ca="1" si="29"/>
        <v>0.14029038233878988</v>
      </c>
      <c r="B964" s="124">
        <f t="shared" ca="1" si="28"/>
        <v>0.12805807646775799</v>
      </c>
    </row>
    <row r="965" spans="1:2" x14ac:dyDescent="0.2">
      <c r="A965" s="108">
        <f t="shared" ca="1" si="29"/>
        <v>0.17961110549526965</v>
      </c>
      <c r="B965" s="124">
        <f t="shared" ca="1" si="28"/>
        <v>0.13592222109905394</v>
      </c>
    </row>
    <row r="966" spans="1:2" x14ac:dyDescent="0.2">
      <c r="A966" s="108">
        <f t="shared" ca="1" si="29"/>
        <v>-0.21157926078704437</v>
      </c>
      <c r="B966" s="124">
        <f t="shared" ca="1" si="28"/>
        <v>5.7684147842591127E-2</v>
      </c>
    </row>
    <row r="967" spans="1:2" x14ac:dyDescent="0.2">
      <c r="A967" s="108">
        <f t="shared" ca="1" si="29"/>
        <v>-0.89638474667494683</v>
      </c>
      <c r="B967" s="124">
        <f t="shared" ca="1" si="28"/>
        <v>-7.9276949334989383E-2</v>
      </c>
    </row>
    <row r="968" spans="1:2" x14ac:dyDescent="0.2">
      <c r="A968" s="108">
        <f t="shared" ca="1" si="29"/>
        <v>-0.37284935201804748</v>
      </c>
      <c r="B968" s="124">
        <f t="shared" ca="1" si="28"/>
        <v>2.5430129596390502E-2</v>
      </c>
    </row>
    <row r="969" spans="1:2" x14ac:dyDescent="0.2">
      <c r="A969" s="108">
        <f t="shared" ca="1" si="29"/>
        <v>1.6099082839276984</v>
      </c>
      <c r="B969" s="124">
        <f t="shared" ca="1" si="28"/>
        <v>0.42198165678553967</v>
      </c>
    </row>
    <row r="970" spans="1:2" x14ac:dyDescent="0.2">
      <c r="A970" s="108">
        <f t="shared" ca="1" si="29"/>
        <v>-0.8622400369303288</v>
      </c>
      <c r="B970" s="124">
        <f t="shared" ref="B970:B1009" ca="1" si="30">$C$1+A970*$C$2</f>
        <v>-7.2448007386065771E-2</v>
      </c>
    </row>
    <row r="971" spans="1:2" x14ac:dyDescent="0.2">
      <c r="A971" s="108">
        <f t="shared" ref="A971:A1009" ca="1" si="31">NORMSINV(RAND())</f>
        <v>0.1791492794624758</v>
      </c>
      <c r="B971" s="124">
        <f t="shared" ca="1" si="30"/>
        <v>0.13582985589249516</v>
      </c>
    </row>
    <row r="972" spans="1:2" x14ac:dyDescent="0.2">
      <c r="A972" s="108">
        <f t="shared" ca="1" si="31"/>
        <v>-0.48254662089008332</v>
      </c>
      <c r="B972" s="124">
        <f t="shared" ca="1" si="30"/>
        <v>3.4906758219833411E-3</v>
      </c>
    </row>
    <row r="973" spans="1:2" x14ac:dyDescent="0.2">
      <c r="A973" s="108">
        <f t="shared" ca="1" si="31"/>
        <v>-0.57535738137349002</v>
      </c>
      <c r="B973" s="124">
        <f t="shared" ca="1" si="30"/>
        <v>-1.5071476274698001E-2</v>
      </c>
    </row>
    <row r="974" spans="1:2" x14ac:dyDescent="0.2">
      <c r="A974" s="108">
        <f t="shared" ca="1" si="31"/>
        <v>-1.80194973611536</v>
      </c>
      <c r="B974" s="124">
        <f t="shared" ca="1" si="30"/>
        <v>-0.26038994722307207</v>
      </c>
    </row>
    <row r="975" spans="1:2" x14ac:dyDescent="0.2">
      <c r="A975" s="108">
        <f t="shared" ca="1" si="31"/>
        <v>0.19995185737061713</v>
      </c>
      <c r="B975" s="124">
        <f t="shared" ca="1" si="30"/>
        <v>0.13999037147412344</v>
      </c>
    </row>
    <row r="976" spans="1:2" x14ac:dyDescent="0.2">
      <c r="A976" s="108">
        <f t="shared" ca="1" si="31"/>
        <v>0.54767041335436717</v>
      </c>
      <c r="B976" s="124">
        <f t="shared" ca="1" si="30"/>
        <v>0.20953408267087345</v>
      </c>
    </row>
    <row r="977" spans="1:2" x14ac:dyDescent="0.2">
      <c r="A977" s="108">
        <f t="shared" ca="1" si="31"/>
        <v>0.36036615989679482</v>
      </c>
      <c r="B977" s="124">
        <f t="shared" ca="1" si="30"/>
        <v>0.17207323197935898</v>
      </c>
    </row>
    <row r="978" spans="1:2" x14ac:dyDescent="0.2">
      <c r="A978" s="108">
        <f t="shared" ca="1" si="31"/>
        <v>1.3826335373134253</v>
      </c>
      <c r="B978" s="124">
        <f t="shared" ca="1" si="30"/>
        <v>0.37652670746268513</v>
      </c>
    </row>
    <row r="979" spans="1:2" x14ac:dyDescent="0.2">
      <c r="A979" s="108">
        <f t="shared" ca="1" si="31"/>
        <v>-1.8385184843139801</v>
      </c>
      <c r="B979" s="124">
        <f t="shared" ca="1" si="30"/>
        <v>-0.26770369686279605</v>
      </c>
    </row>
    <row r="980" spans="1:2" x14ac:dyDescent="0.2">
      <c r="A980" s="108">
        <f t="shared" ca="1" si="31"/>
        <v>1.0070720957157444</v>
      </c>
      <c r="B980" s="124">
        <f t="shared" ca="1" si="30"/>
        <v>0.30141441914314893</v>
      </c>
    </row>
    <row r="981" spans="1:2" x14ac:dyDescent="0.2">
      <c r="A981" s="108">
        <f t="shared" ca="1" si="31"/>
        <v>-0.56900594294057727</v>
      </c>
      <c r="B981" s="124">
        <f t="shared" ca="1" si="30"/>
        <v>-1.3801188588115451E-2</v>
      </c>
    </row>
    <row r="982" spans="1:2" x14ac:dyDescent="0.2">
      <c r="A982" s="108">
        <f t="shared" ca="1" si="31"/>
        <v>-0.84748487250556004</v>
      </c>
      <c r="B982" s="124">
        <f t="shared" ca="1" si="30"/>
        <v>-6.9496974501112002E-2</v>
      </c>
    </row>
    <row r="983" spans="1:2" x14ac:dyDescent="0.2">
      <c r="A983" s="108">
        <f t="shared" ca="1" si="31"/>
        <v>0.5613776391562304</v>
      </c>
      <c r="B983" s="124">
        <f t="shared" ca="1" si="30"/>
        <v>0.21227552783124609</v>
      </c>
    </row>
    <row r="984" spans="1:2" x14ac:dyDescent="0.2">
      <c r="A984" s="108">
        <f t="shared" ca="1" si="31"/>
        <v>1.1959186380087479</v>
      </c>
      <c r="B984" s="124">
        <f t="shared" ca="1" si="30"/>
        <v>0.33918372760174959</v>
      </c>
    </row>
    <row r="985" spans="1:2" x14ac:dyDescent="0.2">
      <c r="A985" s="108">
        <f t="shared" ca="1" si="31"/>
        <v>-0.66022122333582856</v>
      </c>
      <c r="B985" s="124">
        <f t="shared" ca="1" si="30"/>
        <v>-3.2044244667165711E-2</v>
      </c>
    </row>
    <row r="986" spans="1:2" x14ac:dyDescent="0.2">
      <c r="A986" s="108">
        <f t="shared" ca="1" si="31"/>
        <v>4.2089043274895731E-2</v>
      </c>
      <c r="B986" s="124">
        <f t="shared" ca="1" si="30"/>
        <v>0.10841780865497916</v>
      </c>
    </row>
    <row r="987" spans="1:2" x14ac:dyDescent="0.2">
      <c r="A987" s="108">
        <f t="shared" ca="1" si="31"/>
        <v>-0.36840872387683482</v>
      </c>
      <c r="B987" s="124">
        <f t="shared" ca="1" si="30"/>
        <v>2.6318255224633033E-2</v>
      </c>
    </row>
    <row r="988" spans="1:2" x14ac:dyDescent="0.2">
      <c r="A988" s="108">
        <f t="shared" ca="1" si="31"/>
        <v>1.3070807858275217</v>
      </c>
      <c r="B988" s="124">
        <f t="shared" ca="1" si="30"/>
        <v>0.36141615716550435</v>
      </c>
    </row>
    <row r="989" spans="1:2" x14ac:dyDescent="0.2">
      <c r="A989" s="108">
        <f t="shared" ca="1" si="31"/>
        <v>5.8235995934524186E-2</v>
      </c>
      <c r="B989" s="124">
        <f t="shared" ca="1" si="30"/>
        <v>0.11164719918690484</v>
      </c>
    </row>
    <row r="990" spans="1:2" x14ac:dyDescent="0.2">
      <c r="A990" s="108">
        <f t="shared" ca="1" si="31"/>
        <v>-0.50116116206666828</v>
      </c>
      <c r="B990" s="124">
        <f t="shared" ca="1" si="30"/>
        <v>-2.3223241333365785E-4</v>
      </c>
    </row>
    <row r="991" spans="1:2" x14ac:dyDescent="0.2">
      <c r="A991" s="108">
        <f t="shared" ca="1" si="31"/>
        <v>1.1462233356923663</v>
      </c>
      <c r="B991" s="124">
        <f t="shared" ca="1" si="30"/>
        <v>0.32924466713847328</v>
      </c>
    </row>
    <row r="992" spans="1:2" x14ac:dyDescent="0.2">
      <c r="A992" s="108">
        <f t="shared" ca="1" si="31"/>
        <v>-0.81109251970809704</v>
      </c>
      <c r="B992" s="124">
        <f t="shared" ca="1" si="30"/>
        <v>-6.2218503941619402E-2</v>
      </c>
    </row>
    <row r="993" spans="1:2" x14ac:dyDescent="0.2">
      <c r="A993" s="108">
        <f t="shared" ca="1" si="31"/>
        <v>5.5549751401153973E-2</v>
      </c>
      <c r="B993" s="124">
        <f t="shared" ca="1" si="30"/>
        <v>0.1111099502802308</v>
      </c>
    </row>
    <row r="994" spans="1:2" x14ac:dyDescent="0.2">
      <c r="A994" s="108">
        <f t="shared" ca="1" si="31"/>
        <v>-1.5821399159289204</v>
      </c>
      <c r="B994" s="124">
        <f t="shared" ca="1" si="30"/>
        <v>-0.21642798318578413</v>
      </c>
    </row>
    <row r="995" spans="1:2" x14ac:dyDescent="0.2">
      <c r="A995" s="108">
        <f t="shared" ca="1" si="31"/>
        <v>1.0285955367687976</v>
      </c>
      <c r="B995" s="124">
        <f t="shared" ca="1" si="30"/>
        <v>0.30571910735375951</v>
      </c>
    </row>
    <row r="996" spans="1:2" x14ac:dyDescent="0.2">
      <c r="A996" s="108">
        <f t="shared" ca="1" si="31"/>
        <v>1.3551532312079813</v>
      </c>
      <c r="B996" s="124">
        <f t="shared" ca="1" si="30"/>
        <v>0.37103064624159632</v>
      </c>
    </row>
    <row r="997" spans="1:2" x14ac:dyDescent="0.2">
      <c r="A997" s="108">
        <f t="shared" ca="1" si="31"/>
        <v>0.18764399835927156</v>
      </c>
      <c r="B997" s="124">
        <f t="shared" ca="1" si="30"/>
        <v>0.13752879967185433</v>
      </c>
    </row>
    <row r="998" spans="1:2" x14ac:dyDescent="0.2">
      <c r="A998" s="108">
        <f t="shared" ca="1" si="31"/>
        <v>0.47093305787596829</v>
      </c>
      <c r="B998" s="124">
        <f t="shared" ca="1" si="30"/>
        <v>0.19418661157519368</v>
      </c>
    </row>
    <row r="999" spans="1:2" x14ac:dyDescent="0.2">
      <c r="A999" s="108">
        <f t="shared" ca="1" si="31"/>
        <v>-0.20674839032418788</v>
      </c>
      <c r="B999" s="124">
        <f t="shared" ca="1" si="30"/>
        <v>5.8650321935162425E-2</v>
      </c>
    </row>
    <row r="1000" spans="1:2" x14ac:dyDescent="0.2">
      <c r="A1000" s="108">
        <f t="shared" ca="1" si="31"/>
        <v>0.29456634405820814</v>
      </c>
      <c r="B1000" s="124">
        <f t="shared" ca="1" si="30"/>
        <v>0.15891326881164164</v>
      </c>
    </row>
    <row r="1001" spans="1:2" x14ac:dyDescent="0.2">
      <c r="A1001" s="108">
        <f t="shared" ca="1" si="31"/>
        <v>0.52646191078738169</v>
      </c>
      <c r="B1001" s="124">
        <f t="shared" ca="1" si="30"/>
        <v>0.20529238215747636</v>
      </c>
    </row>
    <row r="1002" spans="1:2" x14ac:dyDescent="0.2">
      <c r="A1002" s="108">
        <f t="shared" ca="1" si="31"/>
        <v>-1.235484309707674</v>
      </c>
      <c r="B1002" s="124">
        <f t="shared" ca="1" si="30"/>
        <v>-0.14709686194153479</v>
      </c>
    </row>
    <row r="1003" spans="1:2" x14ac:dyDescent="0.2">
      <c r="A1003" s="108">
        <f t="shared" ca="1" si="31"/>
        <v>0.46022721782554604</v>
      </c>
      <c r="B1003" s="124">
        <f t="shared" ca="1" si="30"/>
        <v>0.19204544356510922</v>
      </c>
    </row>
    <row r="1004" spans="1:2" x14ac:dyDescent="0.2">
      <c r="A1004" s="108">
        <f t="shared" ca="1" si="31"/>
        <v>-0.46840768023968132</v>
      </c>
      <c r="B1004" s="124">
        <f t="shared" ca="1" si="30"/>
        <v>6.3184639520637298E-3</v>
      </c>
    </row>
    <row r="1005" spans="1:2" x14ac:dyDescent="0.2">
      <c r="A1005" s="108">
        <f t="shared" ca="1" si="31"/>
        <v>-1.5374114949785867E-2</v>
      </c>
      <c r="B1005" s="124">
        <f t="shared" ca="1" si="30"/>
        <v>9.6925177010042829E-2</v>
      </c>
    </row>
    <row r="1006" spans="1:2" x14ac:dyDescent="0.2">
      <c r="A1006" s="108">
        <f t="shared" ca="1" si="31"/>
        <v>-1.1276514924276222</v>
      </c>
      <c r="B1006" s="124">
        <f t="shared" ca="1" si="30"/>
        <v>-0.12553029848552444</v>
      </c>
    </row>
    <row r="1007" spans="1:2" x14ac:dyDescent="0.2">
      <c r="A1007" s="108">
        <f t="shared" ca="1" si="31"/>
        <v>4.6652171762021598E-2</v>
      </c>
      <c r="B1007" s="124">
        <f t="shared" ca="1" si="30"/>
        <v>0.10933043435240433</v>
      </c>
    </row>
    <row r="1008" spans="1:2" x14ac:dyDescent="0.2">
      <c r="A1008" s="108">
        <f t="shared" ca="1" si="31"/>
        <v>0.36748752919645566</v>
      </c>
      <c r="B1008" s="124">
        <f t="shared" ca="1" si="30"/>
        <v>0.17349750583929113</v>
      </c>
    </row>
    <row r="1009" spans="1:2" x14ac:dyDescent="0.2">
      <c r="A1009" s="108">
        <f t="shared" ca="1" si="31"/>
        <v>1.2761471911794688</v>
      </c>
      <c r="B1009" s="124">
        <f t="shared" ca="1" si="30"/>
        <v>0.35522943823589381</v>
      </c>
    </row>
    <row r="1010" spans="1:2" x14ac:dyDescent="0.2">
      <c r="B1010" s="124"/>
    </row>
    <row r="1011" spans="1:2" x14ac:dyDescent="0.2">
      <c r="B1011" s="124"/>
    </row>
    <row r="1012" spans="1:2" x14ac:dyDescent="0.2">
      <c r="B1012" s="124"/>
    </row>
    <row r="1013" spans="1:2" x14ac:dyDescent="0.2">
      <c r="B1013" s="124"/>
    </row>
    <row r="1014" spans="1:2" x14ac:dyDescent="0.2">
      <c r="B1014" s="124"/>
    </row>
    <row r="1015" spans="1:2" x14ac:dyDescent="0.2">
      <c r="B1015" s="124"/>
    </row>
    <row r="1016" spans="1:2" x14ac:dyDescent="0.2">
      <c r="B1016" s="124"/>
    </row>
    <row r="1017" spans="1:2" x14ac:dyDescent="0.2">
      <c r="B1017" s="124"/>
    </row>
    <row r="1018" spans="1:2" x14ac:dyDescent="0.2">
      <c r="B1018" s="124"/>
    </row>
    <row r="1019" spans="1:2" x14ac:dyDescent="0.2">
      <c r="B1019" s="124"/>
    </row>
    <row r="1020" spans="1:2" x14ac:dyDescent="0.2">
      <c r="B1020" s="124"/>
    </row>
    <row r="1021" spans="1:2" x14ac:dyDescent="0.2">
      <c r="B1021" s="124"/>
    </row>
    <row r="1022" spans="1:2" x14ac:dyDescent="0.2">
      <c r="B1022" s="124"/>
    </row>
    <row r="1023" spans="1:2" x14ac:dyDescent="0.2">
      <c r="B1023" s="124"/>
    </row>
    <row r="1024" spans="1:2" x14ac:dyDescent="0.2">
      <c r="B1024" s="124"/>
    </row>
    <row r="1025" spans="2:2" x14ac:dyDescent="0.2">
      <c r="B1025" s="124"/>
    </row>
    <row r="1026" spans="2:2" x14ac:dyDescent="0.2">
      <c r="B1026" s="124"/>
    </row>
    <row r="1027" spans="2:2" x14ac:dyDescent="0.2">
      <c r="B1027" s="124"/>
    </row>
    <row r="1028" spans="2:2" x14ac:dyDescent="0.2">
      <c r="B1028" s="124"/>
    </row>
    <row r="1029" spans="2:2" x14ac:dyDescent="0.2">
      <c r="B1029" s="124"/>
    </row>
    <row r="1030" spans="2:2" x14ac:dyDescent="0.2">
      <c r="B1030" s="124"/>
    </row>
    <row r="1031" spans="2:2" x14ac:dyDescent="0.2">
      <c r="B1031" s="124"/>
    </row>
    <row r="1032" spans="2:2" x14ac:dyDescent="0.2">
      <c r="B1032" s="124"/>
    </row>
    <row r="1033" spans="2:2" x14ac:dyDescent="0.2">
      <c r="B1033" s="124"/>
    </row>
    <row r="1034" spans="2:2" x14ac:dyDescent="0.2">
      <c r="B1034" s="124"/>
    </row>
    <row r="1035" spans="2:2" x14ac:dyDescent="0.2">
      <c r="B1035" s="124"/>
    </row>
    <row r="1036" spans="2:2" x14ac:dyDescent="0.2">
      <c r="B1036" s="124"/>
    </row>
    <row r="1037" spans="2:2" x14ac:dyDescent="0.2">
      <c r="B1037" s="124"/>
    </row>
    <row r="1038" spans="2:2" x14ac:dyDescent="0.2">
      <c r="B1038" s="124"/>
    </row>
    <row r="1039" spans="2:2" x14ac:dyDescent="0.2">
      <c r="B1039" s="124"/>
    </row>
    <row r="1040" spans="2:2" x14ac:dyDescent="0.2">
      <c r="B1040" s="124"/>
    </row>
    <row r="1041" spans="2:2" x14ac:dyDescent="0.2">
      <c r="B1041" s="124"/>
    </row>
    <row r="1042" spans="2:2" x14ac:dyDescent="0.2">
      <c r="B1042" s="124"/>
    </row>
    <row r="1043" spans="2:2" x14ac:dyDescent="0.2">
      <c r="B1043" s="124"/>
    </row>
    <row r="1044" spans="2:2" x14ac:dyDescent="0.2">
      <c r="B1044" s="124"/>
    </row>
    <row r="1045" spans="2:2" x14ac:dyDescent="0.2">
      <c r="B1045" s="124"/>
    </row>
    <row r="1046" spans="2:2" x14ac:dyDescent="0.2">
      <c r="B1046" s="124"/>
    </row>
    <row r="1047" spans="2:2" x14ac:dyDescent="0.2">
      <c r="B1047" s="124"/>
    </row>
    <row r="1048" spans="2:2" x14ac:dyDescent="0.2">
      <c r="B1048" s="124"/>
    </row>
    <row r="1049" spans="2:2" x14ac:dyDescent="0.2">
      <c r="B1049" s="124"/>
    </row>
    <row r="1050" spans="2:2" x14ac:dyDescent="0.2">
      <c r="B1050" s="124"/>
    </row>
    <row r="1051" spans="2:2" x14ac:dyDescent="0.2">
      <c r="B1051" s="124"/>
    </row>
    <row r="1052" spans="2:2" x14ac:dyDescent="0.2">
      <c r="B1052" s="124"/>
    </row>
    <row r="1053" spans="2:2" x14ac:dyDescent="0.2">
      <c r="B1053" s="124"/>
    </row>
    <row r="1054" spans="2:2" x14ac:dyDescent="0.2">
      <c r="B1054" s="124"/>
    </row>
    <row r="1055" spans="2:2" x14ac:dyDescent="0.2">
      <c r="B1055" s="124"/>
    </row>
    <row r="1056" spans="2:2" x14ac:dyDescent="0.2">
      <c r="B1056" s="124"/>
    </row>
    <row r="1057" spans="2:2" x14ac:dyDescent="0.2">
      <c r="B1057" s="124"/>
    </row>
    <row r="1058" spans="2:2" x14ac:dyDescent="0.2">
      <c r="B1058" s="124"/>
    </row>
    <row r="1059" spans="2:2" x14ac:dyDescent="0.2">
      <c r="B1059" s="124"/>
    </row>
    <row r="1060" spans="2:2" x14ac:dyDescent="0.2">
      <c r="B1060" s="124"/>
    </row>
    <row r="1061" spans="2:2" x14ac:dyDescent="0.2">
      <c r="B1061" s="124"/>
    </row>
    <row r="1062" spans="2:2" x14ac:dyDescent="0.2">
      <c r="B1062" s="124"/>
    </row>
    <row r="1063" spans="2:2" x14ac:dyDescent="0.2">
      <c r="B1063" s="124"/>
    </row>
    <row r="1064" spans="2:2" x14ac:dyDescent="0.2">
      <c r="B1064" s="124"/>
    </row>
    <row r="1065" spans="2:2" x14ac:dyDescent="0.2">
      <c r="B1065" s="124"/>
    </row>
    <row r="1066" spans="2:2" x14ac:dyDescent="0.2">
      <c r="B1066" s="124"/>
    </row>
    <row r="1067" spans="2:2" x14ac:dyDescent="0.2">
      <c r="B1067" s="124"/>
    </row>
    <row r="1068" spans="2:2" x14ac:dyDescent="0.2">
      <c r="B1068" s="124"/>
    </row>
    <row r="1069" spans="2:2" x14ac:dyDescent="0.2">
      <c r="B1069" s="124"/>
    </row>
    <row r="1070" spans="2:2" x14ac:dyDescent="0.2">
      <c r="B1070" s="124"/>
    </row>
    <row r="1071" spans="2:2" x14ac:dyDescent="0.2">
      <c r="B1071" s="124"/>
    </row>
    <row r="1072" spans="2:2" x14ac:dyDescent="0.2">
      <c r="B1072" s="124"/>
    </row>
    <row r="1073" spans="2:2" x14ac:dyDescent="0.2">
      <c r="B1073" s="124"/>
    </row>
    <row r="1074" spans="2:2" x14ac:dyDescent="0.2">
      <c r="B1074" s="124"/>
    </row>
    <row r="1075" spans="2:2" x14ac:dyDescent="0.2">
      <c r="B1075" s="124"/>
    </row>
    <row r="1076" spans="2:2" x14ac:dyDescent="0.2">
      <c r="B1076" s="124"/>
    </row>
    <row r="1077" spans="2:2" x14ac:dyDescent="0.2">
      <c r="B1077" s="124"/>
    </row>
    <row r="1078" spans="2:2" x14ac:dyDescent="0.2">
      <c r="B1078" s="124"/>
    </row>
    <row r="1079" spans="2:2" x14ac:dyDescent="0.2">
      <c r="B1079" s="124"/>
    </row>
    <row r="1080" spans="2:2" x14ac:dyDescent="0.2">
      <c r="B1080" s="124"/>
    </row>
    <row r="1081" spans="2:2" x14ac:dyDescent="0.2">
      <c r="B1081" s="124"/>
    </row>
    <row r="1082" spans="2:2" x14ac:dyDescent="0.2">
      <c r="B1082" s="124"/>
    </row>
    <row r="1083" spans="2:2" x14ac:dyDescent="0.2">
      <c r="B1083" s="124"/>
    </row>
    <row r="1084" spans="2:2" x14ac:dyDescent="0.2">
      <c r="B1084" s="124"/>
    </row>
    <row r="1085" spans="2:2" x14ac:dyDescent="0.2">
      <c r="B1085" s="124"/>
    </row>
    <row r="1086" spans="2:2" x14ac:dyDescent="0.2">
      <c r="B1086" s="124"/>
    </row>
    <row r="1087" spans="2:2" x14ac:dyDescent="0.2">
      <c r="B1087" s="124"/>
    </row>
    <row r="1088" spans="2:2" x14ac:dyDescent="0.2">
      <c r="B1088" s="124"/>
    </row>
    <row r="1089" spans="2:2" x14ac:dyDescent="0.2">
      <c r="B1089" s="124"/>
    </row>
    <row r="1090" spans="2:2" x14ac:dyDescent="0.2">
      <c r="B1090" s="124"/>
    </row>
    <row r="1091" spans="2:2" x14ac:dyDescent="0.2">
      <c r="B1091" s="124"/>
    </row>
    <row r="1092" spans="2:2" x14ac:dyDescent="0.2">
      <c r="B1092" s="124"/>
    </row>
    <row r="1093" spans="2:2" x14ac:dyDescent="0.2">
      <c r="B1093" s="124"/>
    </row>
    <row r="1094" spans="2:2" x14ac:dyDescent="0.2">
      <c r="B1094" s="124"/>
    </row>
    <row r="1095" spans="2:2" x14ac:dyDescent="0.2">
      <c r="B1095" s="124"/>
    </row>
    <row r="1096" spans="2:2" x14ac:dyDescent="0.2">
      <c r="B1096" s="124"/>
    </row>
    <row r="1097" spans="2:2" x14ac:dyDescent="0.2">
      <c r="B1097" s="124"/>
    </row>
    <row r="1098" spans="2:2" x14ac:dyDescent="0.2">
      <c r="B1098" s="124"/>
    </row>
    <row r="1099" spans="2:2" x14ac:dyDescent="0.2">
      <c r="B1099" s="124"/>
    </row>
    <row r="1100" spans="2:2" x14ac:dyDescent="0.2">
      <c r="B1100" s="124"/>
    </row>
    <row r="1101" spans="2:2" x14ac:dyDescent="0.2">
      <c r="B1101" s="124"/>
    </row>
    <row r="1102" spans="2:2" x14ac:dyDescent="0.2">
      <c r="B1102" s="124"/>
    </row>
    <row r="1103" spans="2:2" x14ac:dyDescent="0.2">
      <c r="B1103" s="124"/>
    </row>
    <row r="1104" spans="2:2" x14ac:dyDescent="0.2">
      <c r="B1104" s="124"/>
    </row>
    <row r="1105" spans="2:2" x14ac:dyDescent="0.2">
      <c r="B1105" s="124"/>
    </row>
    <row r="1106" spans="2:2" x14ac:dyDescent="0.2">
      <c r="B1106" s="124"/>
    </row>
    <row r="1107" spans="2:2" x14ac:dyDescent="0.2">
      <c r="B1107" s="124"/>
    </row>
    <row r="1108" spans="2:2" x14ac:dyDescent="0.2">
      <c r="B1108" s="124"/>
    </row>
    <row r="1109" spans="2:2" x14ac:dyDescent="0.2">
      <c r="B1109" s="124"/>
    </row>
    <row r="1110" spans="2:2" x14ac:dyDescent="0.2">
      <c r="B1110" s="124"/>
    </row>
    <row r="1111" spans="2:2" x14ac:dyDescent="0.2">
      <c r="B1111" s="124"/>
    </row>
    <row r="1112" spans="2:2" x14ac:dyDescent="0.2">
      <c r="B1112" s="124"/>
    </row>
    <row r="1113" spans="2:2" x14ac:dyDescent="0.2">
      <c r="B1113" s="124"/>
    </row>
    <row r="1114" spans="2:2" x14ac:dyDescent="0.2">
      <c r="B1114" s="124"/>
    </row>
    <row r="1115" spans="2:2" x14ac:dyDescent="0.2">
      <c r="B1115" s="124"/>
    </row>
    <row r="1116" spans="2:2" x14ac:dyDescent="0.2">
      <c r="B1116" s="124"/>
    </row>
    <row r="1117" spans="2:2" x14ac:dyDescent="0.2">
      <c r="B1117" s="124"/>
    </row>
    <row r="1118" spans="2:2" x14ac:dyDescent="0.2">
      <c r="B1118" s="124"/>
    </row>
    <row r="1119" spans="2:2" x14ac:dyDescent="0.2">
      <c r="B1119" s="124"/>
    </row>
    <row r="1120" spans="2:2" x14ac:dyDescent="0.2">
      <c r="B1120" s="124"/>
    </row>
    <row r="1121" spans="2:2" x14ac:dyDescent="0.2">
      <c r="B1121" s="124"/>
    </row>
    <row r="1122" spans="2:2" x14ac:dyDescent="0.2">
      <c r="B1122" s="124"/>
    </row>
    <row r="1123" spans="2:2" x14ac:dyDescent="0.2">
      <c r="B1123" s="124"/>
    </row>
    <row r="1124" spans="2:2" x14ac:dyDescent="0.2">
      <c r="B1124" s="124"/>
    </row>
    <row r="1125" spans="2:2" x14ac:dyDescent="0.2">
      <c r="B1125" s="124"/>
    </row>
    <row r="1126" spans="2:2" x14ac:dyDescent="0.2">
      <c r="B1126" s="124"/>
    </row>
    <row r="1127" spans="2:2" x14ac:dyDescent="0.2">
      <c r="B1127" s="124"/>
    </row>
    <row r="1128" spans="2:2" x14ac:dyDescent="0.2">
      <c r="B1128" s="124"/>
    </row>
    <row r="1129" spans="2:2" x14ac:dyDescent="0.2">
      <c r="B1129" s="124"/>
    </row>
    <row r="1130" spans="2:2" x14ac:dyDescent="0.2">
      <c r="B1130" s="124"/>
    </row>
    <row r="1131" spans="2:2" x14ac:dyDescent="0.2">
      <c r="B1131" s="124"/>
    </row>
    <row r="1132" spans="2:2" x14ac:dyDescent="0.2">
      <c r="B1132" s="124"/>
    </row>
    <row r="1133" spans="2:2" x14ac:dyDescent="0.2">
      <c r="B1133" s="124"/>
    </row>
    <row r="1134" spans="2:2" x14ac:dyDescent="0.2">
      <c r="B1134" s="124"/>
    </row>
    <row r="1135" spans="2:2" x14ac:dyDescent="0.2">
      <c r="B1135" s="124"/>
    </row>
    <row r="1136" spans="2:2" x14ac:dyDescent="0.2">
      <c r="B1136" s="124"/>
    </row>
    <row r="1137" spans="2:2" x14ac:dyDescent="0.2">
      <c r="B1137" s="124"/>
    </row>
    <row r="1138" spans="2:2" x14ac:dyDescent="0.2">
      <c r="B1138" s="124"/>
    </row>
    <row r="1139" spans="2:2" x14ac:dyDescent="0.2">
      <c r="B1139" s="124"/>
    </row>
    <row r="1140" spans="2:2" x14ac:dyDescent="0.2">
      <c r="B1140" s="124"/>
    </row>
    <row r="1141" spans="2:2" x14ac:dyDescent="0.2">
      <c r="B1141" s="124"/>
    </row>
    <row r="1142" spans="2:2" x14ac:dyDescent="0.2">
      <c r="B1142" s="124"/>
    </row>
    <row r="1143" spans="2:2" x14ac:dyDescent="0.2">
      <c r="B1143" s="124"/>
    </row>
    <row r="1144" spans="2:2" x14ac:dyDescent="0.2">
      <c r="B1144" s="124"/>
    </row>
    <row r="1145" spans="2:2" x14ac:dyDescent="0.2">
      <c r="B1145" s="124"/>
    </row>
    <row r="1146" spans="2:2" x14ac:dyDescent="0.2">
      <c r="B1146" s="124"/>
    </row>
    <row r="1147" spans="2:2" x14ac:dyDescent="0.2">
      <c r="B1147" s="124"/>
    </row>
    <row r="1148" spans="2:2" x14ac:dyDescent="0.2">
      <c r="B1148" s="124"/>
    </row>
    <row r="1149" spans="2:2" x14ac:dyDescent="0.2">
      <c r="B1149" s="124"/>
    </row>
    <row r="1150" spans="2:2" x14ac:dyDescent="0.2">
      <c r="B1150" s="124"/>
    </row>
    <row r="1151" spans="2:2" x14ac:dyDescent="0.2">
      <c r="B1151" s="124"/>
    </row>
    <row r="1152" spans="2:2" x14ac:dyDescent="0.2">
      <c r="B1152" s="124"/>
    </row>
    <row r="1153" spans="2:2" x14ac:dyDescent="0.2">
      <c r="B1153" s="124"/>
    </row>
    <row r="1154" spans="2:2" x14ac:dyDescent="0.2">
      <c r="B1154" s="124"/>
    </row>
    <row r="1155" spans="2:2" x14ac:dyDescent="0.2">
      <c r="B1155" s="124"/>
    </row>
    <row r="1156" spans="2:2" x14ac:dyDescent="0.2">
      <c r="B1156" s="124"/>
    </row>
    <row r="1157" spans="2:2" x14ac:dyDescent="0.2">
      <c r="B1157" s="124"/>
    </row>
    <row r="1158" spans="2:2" x14ac:dyDescent="0.2">
      <c r="B1158" s="124"/>
    </row>
    <row r="1159" spans="2:2" x14ac:dyDescent="0.2">
      <c r="B1159" s="124"/>
    </row>
    <row r="1160" spans="2:2" x14ac:dyDescent="0.2">
      <c r="B1160" s="124"/>
    </row>
    <row r="1161" spans="2:2" x14ac:dyDescent="0.2">
      <c r="B1161" s="124"/>
    </row>
    <row r="1162" spans="2:2" x14ac:dyDescent="0.2">
      <c r="B1162" s="124"/>
    </row>
    <row r="1163" spans="2:2" x14ac:dyDescent="0.2">
      <c r="B1163" s="124"/>
    </row>
    <row r="1164" spans="2:2" x14ac:dyDescent="0.2">
      <c r="B1164" s="124"/>
    </row>
    <row r="1165" spans="2:2" x14ac:dyDescent="0.2">
      <c r="B1165" s="124"/>
    </row>
    <row r="1166" spans="2:2" x14ac:dyDescent="0.2">
      <c r="B1166" s="124"/>
    </row>
    <row r="1167" spans="2:2" x14ac:dyDescent="0.2">
      <c r="B1167" s="124"/>
    </row>
    <row r="1168" spans="2:2" x14ac:dyDescent="0.2">
      <c r="B1168" s="124"/>
    </row>
    <row r="1169" spans="2:2" x14ac:dyDescent="0.2">
      <c r="B1169" s="124"/>
    </row>
    <row r="1170" spans="2:2" x14ac:dyDescent="0.2">
      <c r="B1170" s="124"/>
    </row>
    <row r="1171" spans="2:2" x14ac:dyDescent="0.2">
      <c r="B1171" s="124"/>
    </row>
    <row r="1172" spans="2:2" x14ac:dyDescent="0.2">
      <c r="B1172" s="124"/>
    </row>
    <row r="1173" spans="2:2" x14ac:dyDescent="0.2">
      <c r="B1173" s="124"/>
    </row>
    <row r="1174" spans="2:2" x14ac:dyDescent="0.2">
      <c r="B1174" s="124"/>
    </row>
    <row r="1175" spans="2:2" x14ac:dyDescent="0.2">
      <c r="B1175" s="124"/>
    </row>
    <row r="1176" spans="2:2" x14ac:dyDescent="0.2">
      <c r="B1176" s="124"/>
    </row>
    <row r="1177" spans="2:2" x14ac:dyDescent="0.2">
      <c r="B1177" s="124"/>
    </row>
    <row r="1178" spans="2:2" x14ac:dyDescent="0.2">
      <c r="B1178" s="124"/>
    </row>
    <row r="1179" spans="2:2" x14ac:dyDescent="0.2">
      <c r="B1179" s="124"/>
    </row>
    <row r="1180" spans="2:2" x14ac:dyDescent="0.2">
      <c r="B1180" s="124"/>
    </row>
    <row r="1181" spans="2:2" x14ac:dyDescent="0.2">
      <c r="B1181" s="124"/>
    </row>
    <row r="1182" spans="2:2" x14ac:dyDescent="0.2">
      <c r="B1182" s="124"/>
    </row>
    <row r="1183" spans="2:2" x14ac:dyDescent="0.2">
      <c r="B1183" s="124"/>
    </row>
    <row r="1184" spans="2:2" x14ac:dyDescent="0.2">
      <c r="B1184" s="124"/>
    </row>
    <row r="1185" spans="2:2" x14ac:dyDescent="0.2">
      <c r="B1185" s="124"/>
    </row>
    <row r="1186" spans="2:2" x14ac:dyDescent="0.2">
      <c r="B1186" s="124"/>
    </row>
    <row r="1187" spans="2:2" x14ac:dyDescent="0.2">
      <c r="B1187" s="124"/>
    </row>
    <row r="1188" spans="2:2" x14ac:dyDescent="0.2">
      <c r="B1188" s="124"/>
    </row>
    <row r="1189" spans="2:2" x14ac:dyDescent="0.2">
      <c r="B1189" s="124"/>
    </row>
    <row r="1190" spans="2:2" x14ac:dyDescent="0.2">
      <c r="B1190" s="124"/>
    </row>
    <row r="1191" spans="2:2" x14ac:dyDescent="0.2">
      <c r="B1191" s="124"/>
    </row>
    <row r="1192" spans="2:2" x14ac:dyDescent="0.2">
      <c r="B1192" s="124"/>
    </row>
    <row r="1193" spans="2:2" x14ac:dyDescent="0.2">
      <c r="B1193" s="124"/>
    </row>
    <row r="1194" spans="2:2" x14ac:dyDescent="0.2">
      <c r="B1194" s="124"/>
    </row>
    <row r="1195" spans="2:2" x14ac:dyDescent="0.2">
      <c r="B1195" s="124"/>
    </row>
    <row r="1196" spans="2:2" x14ac:dyDescent="0.2">
      <c r="B1196" s="124"/>
    </row>
    <row r="1197" spans="2:2" x14ac:dyDescent="0.2">
      <c r="B1197" s="124"/>
    </row>
    <row r="1198" spans="2:2" x14ac:dyDescent="0.2">
      <c r="B1198" s="124"/>
    </row>
    <row r="1199" spans="2:2" x14ac:dyDescent="0.2">
      <c r="B1199" s="124"/>
    </row>
    <row r="1200" spans="2:2" x14ac:dyDescent="0.2">
      <c r="B1200" s="124"/>
    </row>
    <row r="1201" spans="2:2" x14ac:dyDescent="0.2">
      <c r="B1201" s="124"/>
    </row>
    <row r="1202" spans="2:2" x14ac:dyDescent="0.2">
      <c r="B1202" s="124"/>
    </row>
    <row r="1203" spans="2:2" x14ac:dyDescent="0.2">
      <c r="B1203" s="124"/>
    </row>
    <row r="1204" spans="2:2" x14ac:dyDescent="0.2">
      <c r="B1204" s="124"/>
    </row>
    <row r="1205" spans="2:2" x14ac:dyDescent="0.2">
      <c r="B1205" s="124"/>
    </row>
    <row r="1206" spans="2:2" x14ac:dyDescent="0.2">
      <c r="B1206" s="124"/>
    </row>
    <row r="1207" spans="2:2" x14ac:dyDescent="0.2">
      <c r="B1207" s="124"/>
    </row>
    <row r="1208" spans="2:2" x14ac:dyDescent="0.2">
      <c r="B1208" s="124"/>
    </row>
    <row r="1209" spans="2:2" x14ac:dyDescent="0.2">
      <c r="B1209" s="124"/>
    </row>
    <row r="1210" spans="2:2" x14ac:dyDescent="0.2">
      <c r="B1210" s="124"/>
    </row>
    <row r="1211" spans="2:2" x14ac:dyDescent="0.2">
      <c r="B1211" s="124"/>
    </row>
    <row r="1212" spans="2:2" x14ac:dyDescent="0.2">
      <c r="B1212" s="124"/>
    </row>
    <row r="1213" spans="2:2" x14ac:dyDescent="0.2">
      <c r="B1213" s="124"/>
    </row>
    <row r="1214" spans="2:2" x14ac:dyDescent="0.2">
      <c r="B1214" s="124"/>
    </row>
    <row r="1215" spans="2:2" x14ac:dyDescent="0.2">
      <c r="B1215" s="124"/>
    </row>
    <row r="1216" spans="2:2" x14ac:dyDescent="0.2">
      <c r="B1216" s="124"/>
    </row>
    <row r="1217" spans="2:2" x14ac:dyDescent="0.2">
      <c r="B1217" s="124"/>
    </row>
    <row r="1218" spans="2:2" x14ac:dyDescent="0.2">
      <c r="B1218" s="124"/>
    </row>
    <row r="1219" spans="2:2" x14ac:dyDescent="0.2">
      <c r="B1219" s="124"/>
    </row>
    <row r="1220" spans="2:2" x14ac:dyDescent="0.2">
      <c r="B1220" s="124"/>
    </row>
    <row r="1221" spans="2:2" x14ac:dyDescent="0.2">
      <c r="B1221" s="124"/>
    </row>
    <row r="1222" spans="2:2" x14ac:dyDescent="0.2">
      <c r="B1222" s="124"/>
    </row>
    <row r="1223" spans="2:2" x14ac:dyDescent="0.2">
      <c r="B1223" s="124"/>
    </row>
    <row r="1224" spans="2:2" x14ac:dyDescent="0.2">
      <c r="B1224" s="124"/>
    </row>
    <row r="1225" spans="2:2" x14ac:dyDescent="0.2">
      <c r="B1225" s="124"/>
    </row>
    <row r="1226" spans="2:2" x14ac:dyDescent="0.2">
      <c r="B1226" s="124"/>
    </row>
    <row r="1227" spans="2:2" x14ac:dyDescent="0.2">
      <c r="B1227" s="124"/>
    </row>
    <row r="1228" spans="2:2" x14ac:dyDescent="0.2">
      <c r="B1228" s="124"/>
    </row>
    <row r="1229" spans="2:2" x14ac:dyDescent="0.2">
      <c r="B1229" s="124"/>
    </row>
    <row r="1230" spans="2:2" x14ac:dyDescent="0.2">
      <c r="B1230" s="124"/>
    </row>
    <row r="1231" spans="2:2" x14ac:dyDescent="0.2">
      <c r="B1231" s="124"/>
    </row>
    <row r="1232" spans="2:2" x14ac:dyDescent="0.2">
      <c r="B1232" s="124"/>
    </row>
    <row r="1233" spans="2:2" x14ac:dyDescent="0.2">
      <c r="B1233" s="124"/>
    </row>
    <row r="1234" spans="2:2" x14ac:dyDescent="0.2">
      <c r="B1234" s="124"/>
    </row>
    <row r="1235" spans="2:2" x14ac:dyDescent="0.2">
      <c r="B1235" s="124"/>
    </row>
    <row r="1236" spans="2:2" x14ac:dyDescent="0.2">
      <c r="B1236" s="124"/>
    </row>
    <row r="1237" spans="2:2" x14ac:dyDescent="0.2">
      <c r="B1237" s="124"/>
    </row>
    <row r="1238" spans="2:2" x14ac:dyDescent="0.2">
      <c r="B1238" s="124"/>
    </row>
    <row r="1239" spans="2:2" x14ac:dyDescent="0.2">
      <c r="B1239" s="124"/>
    </row>
    <row r="1240" spans="2:2" x14ac:dyDescent="0.2">
      <c r="B1240" s="124"/>
    </row>
    <row r="1241" spans="2:2" x14ac:dyDescent="0.2">
      <c r="B1241" s="124"/>
    </row>
    <row r="1242" spans="2:2" x14ac:dyDescent="0.2">
      <c r="B1242" s="124"/>
    </row>
    <row r="1243" spans="2:2" x14ac:dyDescent="0.2">
      <c r="B1243" s="124"/>
    </row>
    <row r="1244" spans="2:2" x14ac:dyDescent="0.2">
      <c r="B1244" s="124"/>
    </row>
    <row r="1245" spans="2:2" x14ac:dyDescent="0.2">
      <c r="B1245" s="124"/>
    </row>
    <row r="1246" spans="2:2" x14ac:dyDescent="0.2">
      <c r="B1246" s="124"/>
    </row>
    <row r="1247" spans="2:2" x14ac:dyDescent="0.2">
      <c r="B1247" s="124"/>
    </row>
    <row r="1248" spans="2:2" x14ac:dyDescent="0.2">
      <c r="B1248" s="124"/>
    </row>
    <row r="1249" spans="2:2" x14ac:dyDescent="0.2">
      <c r="B1249" s="124"/>
    </row>
    <row r="1250" spans="2:2" x14ac:dyDescent="0.2">
      <c r="B1250" s="124"/>
    </row>
    <row r="1251" spans="2:2" x14ac:dyDescent="0.2">
      <c r="B1251" s="124"/>
    </row>
    <row r="1252" spans="2:2" x14ac:dyDescent="0.2">
      <c r="B1252" s="124"/>
    </row>
    <row r="1253" spans="2:2" x14ac:dyDescent="0.2">
      <c r="B1253" s="124"/>
    </row>
    <row r="1254" spans="2:2" x14ac:dyDescent="0.2">
      <c r="B1254" s="124"/>
    </row>
    <row r="1255" spans="2:2" x14ac:dyDescent="0.2">
      <c r="B1255" s="124"/>
    </row>
    <row r="1256" spans="2:2" x14ac:dyDescent="0.2">
      <c r="B1256" s="124"/>
    </row>
    <row r="1257" spans="2:2" x14ac:dyDescent="0.2">
      <c r="B1257" s="124"/>
    </row>
    <row r="1258" spans="2:2" x14ac:dyDescent="0.2">
      <c r="B1258" s="124"/>
    </row>
    <row r="1259" spans="2:2" x14ac:dyDescent="0.2">
      <c r="B1259" s="124"/>
    </row>
    <row r="1260" spans="2:2" x14ac:dyDescent="0.2">
      <c r="B1260" s="124"/>
    </row>
    <row r="1261" spans="2:2" x14ac:dyDescent="0.2">
      <c r="B1261" s="124"/>
    </row>
    <row r="1262" spans="2:2" x14ac:dyDescent="0.2">
      <c r="B1262" s="124"/>
    </row>
    <row r="1263" spans="2:2" x14ac:dyDescent="0.2">
      <c r="B1263" s="124"/>
    </row>
    <row r="1264" spans="2:2" x14ac:dyDescent="0.2">
      <c r="B1264" s="124"/>
    </row>
    <row r="1265" spans="2:2" x14ac:dyDescent="0.2">
      <c r="B1265" s="124"/>
    </row>
    <row r="1266" spans="2:2" x14ac:dyDescent="0.2">
      <c r="B1266" s="124"/>
    </row>
    <row r="1267" spans="2:2" x14ac:dyDescent="0.2">
      <c r="B1267" s="124"/>
    </row>
    <row r="1268" spans="2:2" x14ac:dyDescent="0.2">
      <c r="B1268" s="124"/>
    </row>
    <row r="1269" spans="2:2" x14ac:dyDescent="0.2">
      <c r="B1269" s="124"/>
    </row>
    <row r="1270" spans="2:2" x14ac:dyDescent="0.2">
      <c r="B1270" s="124"/>
    </row>
    <row r="1271" spans="2:2" x14ac:dyDescent="0.2">
      <c r="B1271" s="124"/>
    </row>
    <row r="1272" spans="2:2" x14ac:dyDescent="0.2">
      <c r="B1272" s="124"/>
    </row>
    <row r="1273" spans="2:2" x14ac:dyDescent="0.2">
      <c r="B1273" s="124"/>
    </row>
    <row r="1274" spans="2:2" x14ac:dyDescent="0.2">
      <c r="B1274" s="124"/>
    </row>
    <row r="1275" spans="2:2" x14ac:dyDescent="0.2">
      <c r="B1275" s="124"/>
    </row>
    <row r="1276" spans="2:2" x14ac:dyDescent="0.2">
      <c r="B1276" s="124"/>
    </row>
    <row r="1277" spans="2:2" x14ac:dyDescent="0.2">
      <c r="B1277" s="124"/>
    </row>
    <row r="1278" spans="2:2" x14ac:dyDescent="0.2">
      <c r="B1278" s="124"/>
    </row>
    <row r="1279" spans="2:2" x14ac:dyDescent="0.2">
      <c r="B1279" s="124"/>
    </row>
    <row r="1280" spans="2:2" x14ac:dyDescent="0.2">
      <c r="B1280" s="124"/>
    </row>
    <row r="1281" spans="2:2" x14ac:dyDescent="0.2">
      <c r="B1281" s="124"/>
    </row>
    <row r="1282" spans="2:2" x14ac:dyDescent="0.2">
      <c r="B1282" s="124"/>
    </row>
    <row r="1283" spans="2:2" x14ac:dyDescent="0.2">
      <c r="B1283" s="124"/>
    </row>
    <row r="1284" spans="2:2" x14ac:dyDescent="0.2">
      <c r="B1284" s="124"/>
    </row>
    <row r="1285" spans="2:2" x14ac:dyDescent="0.2">
      <c r="B1285" s="124"/>
    </row>
    <row r="1286" spans="2:2" x14ac:dyDescent="0.2">
      <c r="B1286" s="124"/>
    </row>
    <row r="1287" spans="2:2" x14ac:dyDescent="0.2">
      <c r="B1287" s="124"/>
    </row>
    <row r="1288" spans="2:2" x14ac:dyDescent="0.2">
      <c r="B1288" s="124"/>
    </row>
    <row r="1289" spans="2:2" x14ac:dyDescent="0.2">
      <c r="B1289" s="124"/>
    </row>
    <row r="1290" spans="2:2" x14ac:dyDescent="0.2">
      <c r="B1290" s="124"/>
    </row>
    <row r="1291" spans="2:2" x14ac:dyDescent="0.2">
      <c r="B1291" s="124"/>
    </row>
    <row r="1292" spans="2:2" x14ac:dyDescent="0.2">
      <c r="B1292" s="124"/>
    </row>
    <row r="1293" spans="2:2" x14ac:dyDescent="0.2">
      <c r="B1293" s="124"/>
    </row>
    <row r="1294" spans="2:2" x14ac:dyDescent="0.2">
      <c r="B1294" s="124"/>
    </row>
    <row r="1295" spans="2:2" x14ac:dyDescent="0.2">
      <c r="B1295" s="124"/>
    </row>
    <row r="1296" spans="2:2" x14ac:dyDescent="0.2">
      <c r="B1296" s="124"/>
    </row>
    <row r="1297" spans="2:2" x14ac:dyDescent="0.2">
      <c r="B1297" s="124"/>
    </row>
    <row r="1298" spans="2:2" x14ac:dyDescent="0.2">
      <c r="B1298" s="124"/>
    </row>
    <row r="1299" spans="2:2" x14ac:dyDescent="0.2">
      <c r="B1299" s="124"/>
    </row>
    <row r="1300" spans="2:2" x14ac:dyDescent="0.2">
      <c r="B1300" s="124"/>
    </row>
    <row r="1301" spans="2:2" x14ac:dyDescent="0.2">
      <c r="B1301" s="124"/>
    </row>
    <row r="1302" spans="2:2" x14ac:dyDescent="0.2">
      <c r="B1302" s="124"/>
    </row>
    <row r="1303" spans="2:2" x14ac:dyDescent="0.2">
      <c r="B1303" s="124"/>
    </row>
    <row r="1304" spans="2:2" x14ac:dyDescent="0.2">
      <c r="B1304" s="124"/>
    </row>
    <row r="1305" spans="2:2" x14ac:dyDescent="0.2">
      <c r="B1305" s="124"/>
    </row>
    <row r="1306" spans="2:2" x14ac:dyDescent="0.2">
      <c r="B1306" s="124"/>
    </row>
    <row r="1307" spans="2:2" x14ac:dyDescent="0.2">
      <c r="B1307" s="124"/>
    </row>
    <row r="1308" spans="2:2" x14ac:dyDescent="0.2">
      <c r="B1308" s="124"/>
    </row>
    <row r="1309" spans="2:2" x14ac:dyDescent="0.2">
      <c r="B1309" s="124"/>
    </row>
    <row r="1310" spans="2:2" x14ac:dyDescent="0.2">
      <c r="B1310" s="124"/>
    </row>
    <row r="1311" spans="2:2" x14ac:dyDescent="0.2">
      <c r="B1311" s="124"/>
    </row>
    <row r="1312" spans="2:2" x14ac:dyDescent="0.2">
      <c r="B1312" s="124"/>
    </row>
    <row r="1313" spans="2:2" x14ac:dyDescent="0.2">
      <c r="B1313" s="124"/>
    </row>
    <row r="1314" spans="2:2" x14ac:dyDescent="0.2">
      <c r="B1314" s="124"/>
    </row>
    <row r="1315" spans="2:2" x14ac:dyDescent="0.2">
      <c r="B1315" s="124"/>
    </row>
    <row r="1316" spans="2:2" x14ac:dyDescent="0.2">
      <c r="B1316" s="124"/>
    </row>
    <row r="1317" spans="2:2" x14ac:dyDescent="0.2">
      <c r="B1317" s="124"/>
    </row>
    <row r="1318" spans="2:2" x14ac:dyDescent="0.2">
      <c r="B1318" s="124"/>
    </row>
    <row r="1319" spans="2:2" x14ac:dyDescent="0.2">
      <c r="B1319" s="124"/>
    </row>
    <row r="1320" spans="2:2" x14ac:dyDescent="0.2">
      <c r="B1320" s="124"/>
    </row>
    <row r="1321" spans="2:2" x14ac:dyDescent="0.2">
      <c r="B1321" s="124"/>
    </row>
    <row r="1322" spans="2:2" x14ac:dyDescent="0.2">
      <c r="B1322" s="124"/>
    </row>
    <row r="1323" spans="2:2" x14ac:dyDescent="0.2">
      <c r="B1323" s="124"/>
    </row>
    <row r="1324" spans="2:2" x14ac:dyDescent="0.2">
      <c r="B1324" s="124"/>
    </row>
    <row r="1325" spans="2:2" x14ac:dyDescent="0.2">
      <c r="B1325" s="124"/>
    </row>
    <row r="1326" spans="2:2" x14ac:dyDescent="0.2">
      <c r="B1326" s="124"/>
    </row>
    <row r="1327" spans="2:2" x14ac:dyDescent="0.2">
      <c r="B1327" s="124"/>
    </row>
    <row r="1328" spans="2:2" x14ac:dyDescent="0.2">
      <c r="B1328" s="124"/>
    </row>
    <row r="1329" spans="2:2" x14ac:dyDescent="0.2">
      <c r="B1329" s="124"/>
    </row>
    <row r="1330" spans="2:2" x14ac:dyDescent="0.2">
      <c r="B1330" s="124"/>
    </row>
    <row r="1331" spans="2:2" x14ac:dyDescent="0.2">
      <c r="B1331" s="124"/>
    </row>
    <row r="1332" spans="2:2" x14ac:dyDescent="0.2">
      <c r="B1332" s="124"/>
    </row>
    <row r="1333" spans="2:2" x14ac:dyDescent="0.2">
      <c r="B1333" s="124"/>
    </row>
    <row r="1334" spans="2:2" x14ac:dyDescent="0.2">
      <c r="B1334" s="124"/>
    </row>
    <row r="1335" spans="2:2" x14ac:dyDescent="0.2">
      <c r="B1335" s="124"/>
    </row>
    <row r="1336" spans="2:2" x14ac:dyDescent="0.2">
      <c r="B1336" s="124"/>
    </row>
    <row r="1337" spans="2:2" x14ac:dyDescent="0.2">
      <c r="B1337" s="124"/>
    </row>
    <row r="1338" spans="2:2" x14ac:dyDescent="0.2">
      <c r="B1338" s="124"/>
    </row>
    <row r="1339" spans="2:2" x14ac:dyDescent="0.2">
      <c r="B1339" s="124"/>
    </row>
    <row r="1340" spans="2:2" x14ac:dyDescent="0.2">
      <c r="B1340" s="124"/>
    </row>
    <row r="1341" spans="2:2" x14ac:dyDescent="0.2">
      <c r="B1341" s="124"/>
    </row>
    <row r="1342" spans="2:2" x14ac:dyDescent="0.2">
      <c r="B1342" s="124"/>
    </row>
    <row r="1343" spans="2:2" x14ac:dyDescent="0.2">
      <c r="B1343" s="124"/>
    </row>
    <row r="1344" spans="2:2" x14ac:dyDescent="0.2">
      <c r="B1344" s="124"/>
    </row>
    <row r="1345" spans="2:2" x14ac:dyDescent="0.2">
      <c r="B1345" s="124"/>
    </row>
    <row r="1346" spans="2:2" x14ac:dyDescent="0.2">
      <c r="B1346" s="124"/>
    </row>
    <row r="1347" spans="2:2" x14ac:dyDescent="0.2">
      <c r="B1347" s="124"/>
    </row>
    <row r="1348" spans="2:2" x14ac:dyDescent="0.2">
      <c r="B1348" s="124"/>
    </row>
    <row r="1349" spans="2:2" x14ac:dyDescent="0.2">
      <c r="B1349" s="124"/>
    </row>
    <row r="1350" spans="2:2" x14ac:dyDescent="0.2">
      <c r="B1350" s="124"/>
    </row>
    <row r="1351" spans="2:2" x14ac:dyDescent="0.2">
      <c r="B1351" s="124"/>
    </row>
    <row r="1352" spans="2:2" x14ac:dyDescent="0.2">
      <c r="B1352" s="124"/>
    </row>
    <row r="1353" spans="2:2" x14ac:dyDescent="0.2">
      <c r="B1353" s="124"/>
    </row>
    <row r="1354" spans="2:2" x14ac:dyDescent="0.2">
      <c r="B1354" s="124"/>
    </row>
    <row r="1355" spans="2:2" x14ac:dyDescent="0.2">
      <c r="B1355" s="124"/>
    </row>
    <row r="1356" spans="2:2" x14ac:dyDescent="0.2">
      <c r="B1356" s="124"/>
    </row>
    <row r="1357" spans="2:2" x14ac:dyDescent="0.2">
      <c r="B1357" s="124"/>
    </row>
    <row r="1358" spans="2:2" x14ac:dyDescent="0.2">
      <c r="B1358" s="124"/>
    </row>
    <row r="1359" spans="2:2" x14ac:dyDescent="0.2">
      <c r="B1359" s="124"/>
    </row>
    <row r="1360" spans="2:2" x14ac:dyDescent="0.2">
      <c r="B1360" s="124"/>
    </row>
    <row r="1361" spans="2:2" x14ac:dyDescent="0.2">
      <c r="B1361" s="124"/>
    </row>
    <row r="1362" spans="2:2" x14ac:dyDescent="0.2">
      <c r="B1362" s="124"/>
    </row>
    <row r="1363" spans="2:2" x14ac:dyDescent="0.2">
      <c r="B1363" s="124"/>
    </row>
    <row r="1364" spans="2:2" x14ac:dyDescent="0.2">
      <c r="B1364" s="124"/>
    </row>
    <row r="1365" spans="2:2" x14ac:dyDescent="0.2">
      <c r="B1365" s="124"/>
    </row>
    <row r="1366" spans="2:2" x14ac:dyDescent="0.2">
      <c r="B1366" s="124"/>
    </row>
    <row r="1367" spans="2:2" x14ac:dyDescent="0.2">
      <c r="B1367" s="124"/>
    </row>
    <row r="1368" spans="2:2" x14ac:dyDescent="0.2">
      <c r="B1368" s="124"/>
    </row>
    <row r="1369" spans="2:2" x14ac:dyDescent="0.2">
      <c r="B1369" s="124"/>
    </row>
    <row r="1370" spans="2:2" x14ac:dyDescent="0.2">
      <c r="B1370" s="124"/>
    </row>
    <row r="1371" spans="2:2" x14ac:dyDescent="0.2">
      <c r="B1371" s="124"/>
    </row>
    <row r="1372" spans="2:2" x14ac:dyDescent="0.2">
      <c r="B1372" s="124"/>
    </row>
    <row r="1373" spans="2:2" x14ac:dyDescent="0.2">
      <c r="B1373" s="124"/>
    </row>
    <row r="1374" spans="2:2" x14ac:dyDescent="0.2">
      <c r="B1374" s="124"/>
    </row>
    <row r="1375" spans="2:2" x14ac:dyDescent="0.2">
      <c r="B1375" s="124"/>
    </row>
    <row r="1376" spans="2:2" x14ac:dyDescent="0.2">
      <c r="B1376" s="124"/>
    </row>
    <row r="1377" spans="2:2" x14ac:dyDescent="0.2">
      <c r="B1377" s="124"/>
    </row>
    <row r="1378" spans="2:2" x14ac:dyDescent="0.2">
      <c r="B1378" s="124"/>
    </row>
    <row r="1379" spans="2:2" x14ac:dyDescent="0.2">
      <c r="B1379" s="124"/>
    </row>
    <row r="1380" spans="2:2" x14ac:dyDescent="0.2">
      <c r="B1380" s="124"/>
    </row>
    <row r="1381" spans="2:2" x14ac:dyDescent="0.2">
      <c r="B1381" s="124"/>
    </row>
    <row r="1382" spans="2:2" x14ac:dyDescent="0.2">
      <c r="B1382" s="124"/>
    </row>
    <row r="1383" spans="2:2" x14ac:dyDescent="0.2">
      <c r="B1383" s="124"/>
    </row>
    <row r="1384" spans="2:2" x14ac:dyDescent="0.2">
      <c r="B1384" s="124"/>
    </row>
    <row r="1385" spans="2:2" x14ac:dyDescent="0.2">
      <c r="B1385" s="124"/>
    </row>
    <row r="1386" spans="2:2" x14ac:dyDescent="0.2">
      <c r="B1386" s="124"/>
    </row>
    <row r="1387" spans="2:2" x14ac:dyDescent="0.2">
      <c r="B1387" s="124"/>
    </row>
    <row r="1388" spans="2:2" x14ac:dyDescent="0.2">
      <c r="B1388" s="124"/>
    </row>
    <row r="1389" spans="2:2" x14ac:dyDescent="0.2">
      <c r="B1389" s="124"/>
    </row>
    <row r="1390" spans="2:2" x14ac:dyDescent="0.2">
      <c r="B1390" s="124"/>
    </row>
    <row r="1391" spans="2:2" x14ac:dyDescent="0.2">
      <c r="B1391" s="124"/>
    </row>
    <row r="1392" spans="2:2" x14ac:dyDescent="0.2">
      <c r="B1392" s="124"/>
    </row>
    <row r="1393" spans="2:2" x14ac:dyDescent="0.2">
      <c r="B1393" s="124"/>
    </row>
    <row r="1394" spans="2:2" x14ac:dyDescent="0.2">
      <c r="B1394" s="124"/>
    </row>
    <row r="1395" spans="2:2" x14ac:dyDescent="0.2">
      <c r="B1395" s="124"/>
    </row>
    <row r="1396" spans="2:2" x14ac:dyDescent="0.2">
      <c r="B1396" s="124"/>
    </row>
    <row r="1397" spans="2:2" x14ac:dyDescent="0.2">
      <c r="B1397" s="124"/>
    </row>
    <row r="1398" spans="2:2" x14ac:dyDescent="0.2">
      <c r="B1398" s="124"/>
    </row>
    <row r="1399" spans="2:2" x14ac:dyDescent="0.2">
      <c r="B1399" s="124"/>
    </row>
    <row r="1400" spans="2:2" x14ac:dyDescent="0.2">
      <c r="B1400" s="124"/>
    </row>
    <row r="1401" spans="2:2" x14ac:dyDescent="0.2">
      <c r="B1401" s="124"/>
    </row>
    <row r="1402" spans="2:2" x14ac:dyDescent="0.2">
      <c r="B1402" s="124"/>
    </row>
    <row r="1403" spans="2:2" x14ac:dyDescent="0.2">
      <c r="B1403" s="124"/>
    </row>
    <row r="1404" spans="2:2" x14ac:dyDescent="0.2">
      <c r="B1404" s="124"/>
    </row>
    <row r="1405" spans="2:2" x14ac:dyDescent="0.2">
      <c r="B1405" s="124"/>
    </row>
    <row r="1406" spans="2:2" x14ac:dyDescent="0.2">
      <c r="B1406" s="124"/>
    </row>
    <row r="1407" spans="2:2" x14ac:dyDescent="0.2">
      <c r="B1407" s="124"/>
    </row>
    <row r="1408" spans="2:2" x14ac:dyDescent="0.2">
      <c r="B1408" s="124"/>
    </row>
    <row r="1409" spans="2:2" x14ac:dyDescent="0.2">
      <c r="B1409" s="124"/>
    </row>
    <row r="1410" spans="2:2" x14ac:dyDescent="0.2">
      <c r="B1410" s="124"/>
    </row>
    <row r="1411" spans="2:2" x14ac:dyDescent="0.2">
      <c r="B1411" s="124"/>
    </row>
    <row r="1412" spans="2:2" x14ac:dyDescent="0.2">
      <c r="B1412" s="124"/>
    </row>
    <row r="1413" spans="2:2" x14ac:dyDescent="0.2">
      <c r="B1413" s="124"/>
    </row>
    <row r="1414" spans="2:2" x14ac:dyDescent="0.2">
      <c r="B1414" s="124"/>
    </row>
    <row r="1415" spans="2:2" x14ac:dyDescent="0.2">
      <c r="B1415" s="124"/>
    </row>
    <row r="1416" spans="2:2" x14ac:dyDescent="0.2">
      <c r="B1416" s="124"/>
    </row>
    <row r="1417" spans="2:2" x14ac:dyDescent="0.2">
      <c r="B1417" s="124"/>
    </row>
    <row r="1418" spans="2:2" x14ac:dyDescent="0.2">
      <c r="B1418" s="124"/>
    </row>
    <row r="1419" spans="2:2" x14ac:dyDescent="0.2">
      <c r="B1419" s="124"/>
    </row>
    <row r="1420" spans="2:2" x14ac:dyDescent="0.2">
      <c r="B1420" s="124"/>
    </row>
    <row r="1421" spans="2:2" x14ac:dyDescent="0.2">
      <c r="B1421" s="124"/>
    </row>
    <row r="1422" spans="2:2" x14ac:dyDescent="0.2">
      <c r="B1422" s="124"/>
    </row>
    <row r="1423" spans="2:2" x14ac:dyDescent="0.2">
      <c r="B1423" s="124"/>
    </row>
    <row r="1424" spans="2:2" x14ac:dyDescent="0.2">
      <c r="B1424" s="124"/>
    </row>
    <row r="1425" spans="2:2" x14ac:dyDescent="0.2">
      <c r="B1425" s="124"/>
    </row>
    <row r="1426" spans="2:2" x14ac:dyDescent="0.2">
      <c r="B1426" s="124"/>
    </row>
    <row r="1427" spans="2:2" x14ac:dyDescent="0.2">
      <c r="B1427" s="124"/>
    </row>
    <row r="1428" spans="2:2" x14ac:dyDescent="0.2">
      <c r="B1428" s="124"/>
    </row>
    <row r="1429" spans="2:2" x14ac:dyDescent="0.2">
      <c r="B1429" s="124"/>
    </row>
    <row r="1430" spans="2:2" x14ac:dyDescent="0.2">
      <c r="B1430" s="124"/>
    </row>
    <row r="1431" spans="2:2" x14ac:dyDescent="0.2">
      <c r="B1431" s="124"/>
    </row>
    <row r="1432" spans="2:2" x14ac:dyDescent="0.2">
      <c r="B1432" s="124"/>
    </row>
    <row r="1433" spans="2:2" x14ac:dyDescent="0.2">
      <c r="B1433" s="124"/>
    </row>
    <row r="1434" spans="2:2" x14ac:dyDescent="0.2">
      <c r="B1434" s="124"/>
    </row>
    <row r="1435" spans="2:2" x14ac:dyDescent="0.2">
      <c r="B1435" s="124"/>
    </row>
    <row r="1436" spans="2:2" x14ac:dyDescent="0.2">
      <c r="B1436" s="124"/>
    </row>
    <row r="1437" spans="2:2" x14ac:dyDescent="0.2">
      <c r="B1437" s="124"/>
    </row>
    <row r="1438" spans="2:2" x14ac:dyDescent="0.2">
      <c r="B1438" s="124"/>
    </row>
    <row r="1439" spans="2:2" x14ac:dyDescent="0.2">
      <c r="B1439" s="124"/>
    </row>
    <row r="1440" spans="2:2" x14ac:dyDescent="0.2">
      <c r="B1440" s="124"/>
    </row>
    <row r="1441" spans="2:2" x14ac:dyDescent="0.2">
      <c r="B1441" s="124"/>
    </row>
    <row r="1442" spans="2:2" x14ac:dyDescent="0.2">
      <c r="B1442" s="124"/>
    </row>
    <row r="1443" spans="2:2" x14ac:dyDescent="0.2">
      <c r="B1443" s="124"/>
    </row>
    <row r="1444" spans="2:2" x14ac:dyDescent="0.2">
      <c r="B1444" s="124"/>
    </row>
    <row r="1445" spans="2:2" x14ac:dyDescent="0.2">
      <c r="B1445" s="124"/>
    </row>
    <row r="1446" spans="2:2" x14ac:dyDescent="0.2">
      <c r="B1446" s="124"/>
    </row>
    <row r="1447" spans="2:2" x14ac:dyDescent="0.2">
      <c r="B1447" s="124"/>
    </row>
    <row r="1448" spans="2:2" x14ac:dyDescent="0.2">
      <c r="B1448" s="124"/>
    </row>
    <row r="1449" spans="2:2" x14ac:dyDescent="0.2">
      <c r="B1449" s="124"/>
    </row>
    <row r="1450" spans="2:2" x14ac:dyDescent="0.2">
      <c r="B1450" s="124"/>
    </row>
    <row r="1451" spans="2:2" x14ac:dyDescent="0.2">
      <c r="B1451" s="124"/>
    </row>
    <row r="1452" spans="2:2" x14ac:dyDescent="0.2">
      <c r="B1452" s="124"/>
    </row>
    <row r="1453" spans="2:2" x14ac:dyDescent="0.2">
      <c r="B1453" s="124"/>
    </row>
    <row r="1454" spans="2:2" x14ac:dyDescent="0.2">
      <c r="B1454" s="124"/>
    </row>
    <row r="1455" spans="2:2" x14ac:dyDescent="0.2">
      <c r="B1455" s="124"/>
    </row>
    <row r="1456" spans="2:2" x14ac:dyDescent="0.2">
      <c r="B1456" s="124"/>
    </row>
    <row r="1457" spans="2:2" x14ac:dyDescent="0.2">
      <c r="B1457" s="124"/>
    </row>
    <row r="1458" spans="2:2" x14ac:dyDescent="0.2">
      <c r="B1458" s="124"/>
    </row>
    <row r="1459" spans="2:2" x14ac:dyDescent="0.2">
      <c r="B1459" s="124"/>
    </row>
    <row r="1460" spans="2:2" x14ac:dyDescent="0.2">
      <c r="B1460" s="124"/>
    </row>
    <row r="1461" spans="2:2" x14ac:dyDescent="0.2">
      <c r="B1461" s="124"/>
    </row>
    <row r="1462" spans="2:2" x14ac:dyDescent="0.2">
      <c r="B1462" s="124"/>
    </row>
    <row r="1463" spans="2:2" x14ac:dyDescent="0.2">
      <c r="B1463" s="124"/>
    </row>
    <row r="1464" spans="2:2" x14ac:dyDescent="0.2">
      <c r="B1464" s="124"/>
    </row>
    <row r="1465" spans="2:2" x14ac:dyDescent="0.2">
      <c r="B1465" s="124"/>
    </row>
    <row r="1466" spans="2:2" x14ac:dyDescent="0.2">
      <c r="B1466" s="124"/>
    </row>
    <row r="1467" spans="2:2" x14ac:dyDescent="0.2">
      <c r="B1467" s="124"/>
    </row>
    <row r="1468" spans="2:2" x14ac:dyDescent="0.2">
      <c r="B1468" s="124"/>
    </row>
    <row r="1469" spans="2:2" x14ac:dyDescent="0.2">
      <c r="B1469" s="124"/>
    </row>
    <row r="1470" spans="2:2" x14ac:dyDescent="0.2">
      <c r="B1470" s="124"/>
    </row>
    <row r="1471" spans="2:2" x14ac:dyDescent="0.2">
      <c r="B1471" s="124"/>
    </row>
    <row r="1472" spans="2:2" x14ac:dyDescent="0.2">
      <c r="B1472" s="124"/>
    </row>
    <row r="1473" spans="2:2" x14ac:dyDescent="0.2">
      <c r="B1473" s="124"/>
    </row>
    <row r="1474" spans="2:2" x14ac:dyDescent="0.2">
      <c r="B1474" s="124"/>
    </row>
    <row r="1475" spans="2:2" x14ac:dyDescent="0.2">
      <c r="B1475" s="124"/>
    </row>
    <row r="1476" spans="2:2" x14ac:dyDescent="0.2">
      <c r="B1476" s="124"/>
    </row>
    <row r="1477" spans="2:2" x14ac:dyDescent="0.2">
      <c r="B1477" s="124"/>
    </row>
    <row r="1478" spans="2:2" x14ac:dyDescent="0.2">
      <c r="B1478" s="124"/>
    </row>
    <row r="1479" spans="2:2" x14ac:dyDescent="0.2">
      <c r="B1479" s="124"/>
    </row>
    <row r="1480" spans="2:2" x14ac:dyDescent="0.2">
      <c r="B1480" s="124"/>
    </row>
    <row r="1481" spans="2:2" x14ac:dyDescent="0.2">
      <c r="B1481" s="124"/>
    </row>
    <row r="1482" spans="2:2" x14ac:dyDescent="0.2">
      <c r="B1482" s="124"/>
    </row>
    <row r="1483" spans="2:2" x14ac:dyDescent="0.2">
      <c r="B1483" s="124"/>
    </row>
    <row r="1484" spans="2:2" x14ac:dyDescent="0.2">
      <c r="B1484" s="124"/>
    </row>
    <row r="1485" spans="2:2" x14ac:dyDescent="0.2">
      <c r="B1485" s="124"/>
    </row>
    <row r="1486" spans="2:2" x14ac:dyDescent="0.2">
      <c r="B1486" s="124"/>
    </row>
    <row r="1487" spans="2:2" x14ac:dyDescent="0.2">
      <c r="B1487" s="124"/>
    </row>
    <row r="1488" spans="2:2" x14ac:dyDescent="0.2">
      <c r="B1488" s="124"/>
    </row>
    <row r="1489" spans="2:2" x14ac:dyDescent="0.2">
      <c r="B1489" s="124"/>
    </row>
    <row r="1490" spans="2:2" x14ac:dyDescent="0.2">
      <c r="B1490" s="124"/>
    </row>
    <row r="1491" spans="2:2" x14ac:dyDescent="0.2">
      <c r="B1491" s="124"/>
    </row>
    <row r="1492" spans="2:2" x14ac:dyDescent="0.2">
      <c r="B1492" s="124"/>
    </row>
    <row r="1493" spans="2:2" x14ac:dyDescent="0.2">
      <c r="B1493" s="124"/>
    </row>
    <row r="1494" spans="2:2" x14ac:dyDescent="0.2">
      <c r="B1494" s="124"/>
    </row>
    <row r="1495" spans="2:2" x14ac:dyDescent="0.2">
      <c r="B1495" s="124"/>
    </row>
    <row r="1496" spans="2:2" x14ac:dyDescent="0.2">
      <c r="B1496" s="124"/>
    </row>
    <row r="1497" spans="2:2" x14ac:dyDescent="0.2">
      <c r="B1497" s="124"/>
    </row>
    <row r="1498" spans="2:2" x14ac:dyDescent="0.2">
      <c r="B1498" s="124"/>
    </row>
    <row r="1499" spans="2:2" x14ac:dyDescent="0.2">
      <c r="B1499" s="124"/>
    </row>
    <row r="1500" spans="2:2" x14ac:dyDescent="0.2">
      <c r="B1500" s="124"/>
    </row>
    <row r="1501" spans="2:2" x14ac:dyDescent="0.2">
      <c r="B1501" s="124"/>
    </row>
    <row r="1502" spans="2:2" x14ac:dyDescent="0.2">
      <c r="B1502" s="124"/>
    </row>
    <row r="1503" spans="2:2" x14ac:dyDescent="0.2">
      <c r="B1503" s="124"/>
    </row>
    <row r="1504" spans="2:2" x14ac:dyDescent="0.2">
      <c r="B1504" s="124"/>
    </row>
    <row r="1505" spans="2:2" x14ac:dyDescent="0.2">
      <c r="B1505" s="124"/>
    </row>
    <row r="1506" spans="2:2" x14ac:dyDescent="0.2">
      <c r="B1506" s="124"/>
    </row>
    <row r="1507" spans="2:2" x14ac:dyDescent="0.2">
      <c r="B1507" s="124"/>
    </row>
    <row r="1508" spans="2:2" x14ac:dyDescent="0.2">
      <c r="B1508" s="124"/>
    </row>
    <row r="1509" spans="2:2" x14ac:dyDescent="0.2">
      <c r="B1509" s="124"/>
    </row>
    <row r="1510" spans="2:2" x14ac:dyDescent="0.2">
      <c r="B1510" s="124"/>
    </row>
    <row r="1511" spans="2:2" x14ac:dyDescent="0.2">
      <c r="B1511" s="124"/>
    </row>
    <row r="1512" spans="2:2" x14ac:dyDescent="0.2">
      <c r="B1512" s="124"/>
    </row>
    <row r="1513" spans="2:2" x14ac:dyDescent="0.2">
      <c r="B1513" s="124"/>
    </row>
    <row r="1514" spans="2:2" x14ac:dyDescent="0.2">
      <c r="B1514" s="124"/>
    </row>
    <row r="1515" spans="2:2" x14ac:dyDescent="0.2">
      <c r="B1515" s="124"/>
    </row>
    <row r="1516" spans="2:2" x14ac:dyDescent="0.2">
      <c r="B1516" s="124"/>
    </row>
    <row r="1517" spans="2:2" x14ac:dyDescent="0.2">
      <c r="B1517" s="124"/>
    </row>
    <row r="1518" spans="2:2" x14ac:dyDescent="0.2">
      <c r="B1518" s="124"/>
    </row>
    <row r="1519" spans="2:2" x14ac:dyDescent="0.2">
      <c r="B1519" s="124"/>
    </row>
    <row r="1520" spans="2:2" x14ac:dyDescent="0.2">
      <c r="B1520" s="124"/>
    </row>
    <row r="1521" spans="2:2" x14ac:dyDescent="0.2">
      <c r="B1521" s="124"/>
    </row>
    <row r="1522" spans="2:2" x14ac:dyDescent="0.2">
      <c r="B1522" s="124"/>
    </row>
    <row r="1523" spans="2:2" x14ac:dyDescent="0.2">
      <c r="B1523" s="124"/>
    </row>
    <row r="1524" spans="2:2" x14ac:dyDescent="0.2">
      <c r="B1524" s="124"/>
    </row>
    <row r="1525" spans="2:2" x14ac:dyDescent="0.2">
      <c r="B1525" s="124"/>
    </row>
    <row r="1526" spans="2:2" x14ac:dyDescent="0.2">
      <c r="B1526" s="124"/>
    </row>
    <row r="1527" spans="2:2" x14ac:dyDescent="0.2">
      <c r="B1527" s="124"/>
    </row>
    <row r="1528" spans="2:2" x14ac:dyDescent="0.2">
      <c r="B1528" s="124"/>
    </row>
    <row r="1529" spans="2:2" x14ac:dyDescent="0.2">
      <c r="B1529" s="124"/>
    </row>
    <row r="1530" spans="2:2" x14ac:dyDescent="0.2">
      <c r="B1530" s="124"/>
    </row>
    <row r="1531" spans="2:2" x14ac:dyDescent="0.2">
      <c r="B1531" s="124"/>
    </row>
    <row r="1532" spans="2:2" x14ac:dyDescent="0.2">
      <c r="B1532" s="124"/>
    </row>
    <row r="1533" spans="2:2" x14ac:dyDescent="0.2">
      <c r="B1533" s="124"/>
    </row>
    <row r="1534" spans="2:2" x14ac:dyDescent="0.2">
      <c r="B1534" s="124"/>
    </row>
    <row r="1535" spans="2:2" x14ac:dyDescent="0.2">
      <c r="B1535" s="124"/>
    </row>
    <row r="1536" spans="2:2" x14ac:dyDescent="0.2">
      <c r="B1536" s="124"/>
    </row>
    <row r="1537" spans="2:2" x14ac:dyDescent="0.2">
      <c r="B1537" s="124"/>
    </row>
    <row r="1538" spans="2:2" x14ac:dyDescent="0.2">
      <c r="B1538" s="124"/>
    </row>
    <row r="1539" spans="2:2" x14ac:dyDescent="0.2">
      <c r="B1539" s="124"/>
    </row>
    <row r="1540" spans="2:2" x14ac:dyDescent="0.2">
      <c r="B1540" s="124"/>
    </row>
    <row r="1541" spans="2:2" x14ac:dyDescent="0.2">
      <c r="B1541" s="124"/>
    </row>
    <row r="1542" spans="2:2" x14ac:dyDescent="0.2">
      <c r="B1542" s="124"/>
    </row>
    <row r="1543" spans="2:2" x14ac:dyDescent="0.2">
      <c r="B1543" s="124"/>
    </row>
    <row r="1544" spans="2:2" x14ac:dyDescent="0.2">
      <c r="B1544" s="124"/>
    </row>
    <row r="1545" spans="2:2" x14ac:dyDescent="0.2">
      <c r="B1545" s="124"/>
    </row>
    <row r="1546" spans="2:2" x14ac:dyDescent="0.2">
      <c r="B1546" s="124"/>
    </row>
    <row r="1547" spans="2:2" x14ac:dyDescent="0.2">
      <c r="B1547" s="124"/>
    </row>
    <row r="1548" spans="2:2" x14ac:dyDescent="0.2">
      <c r="B1548" s="124"/>
    </row>
    <row r="1549" spans="2:2" x14ac:dyDescent="0.2">
      <c r="B1549" s="124"/>
    </row>
    <row r="1550" spans="2:2" x14ac:dyDescent="0.2">
      <c r="B1550" s="124"/>
    </row>
    <row r="1551" spans="2:2" x14ac:dyDescent="0.2">
      <c r="B1551" s="124"/>
    </row>
    <row r="1552" spans="2:2" x14ac:dyDescent="0.2">
      <c r="B1552" s="124"/>
    </row>
    <row r="1553" spans="2:2" x14ac:dyDescent="0.2">
      <c r="B1553" s="124"/>
    </row>
    <row r="1554" spans="2:2" x14ac:dyDescent="0.2">
      <c r="B1554" s="124"/>
    </row>
    <row r="1555" spans="2:2" x14ac:dyDescent="0.2">
      <c r="B1555" s="124"/>
    </row>
    <row r="1556" spans="2:2" x14ac:dyDescent="0.2">
      <c r="B1556" s="124"/>
    </row>
    <row r="1557" spans="2:2" x14ac:dyDescent="0.2">
      <c r="B1557" s="124"/>
    </row>
    <row r="1558" spans="2:2" x14ac:dyDescent="0.2">
      <c r="B1558" s="124"/>
    </row>
    <row r="1559" spans="2:2" x14ac:dyDescent="0.2">
      <c r="B1559" s="124"/>
    </row>
    <row r="1560" spans="2:2" x14ac:dyDescent="0.2">
      <c r="B1560" s="124"/>
    </row>
    <row r="1561" spans="2:2" x14ac:dyDescent="0.2">
      <c r="B1561" s="124"/>
    </row>
    <row r="1562" spans="2:2" x14ac:dyDescent="0.2">
      <c r="B1562" s="124"/>
    </row>
    <row r="1563" spans="2:2" x14ac:dyDescent="0.2">
      <c r="B1563" s="124"/>
    </row>
    <row r="1564" spans="2:2" x14ac:dyDescent="0.2">
      <c r="B1564" s="124"/>
    </row>
    <row r="1565" spans="2:2" x14ac:dyDescent="0.2">
      <c r="B1565" s="124"/>
    </row>
    <row r="1566" spans="2:2" x14ac:dyDescent="0.2">
      <c r="B1566" s="124"/>
    </row>
    <row r="1567" spans="2:2" x14ac:dyDescent="0.2">
      <c r="B1567" s="124"/>
    </row>
    <row r="1568" spans="2:2" x14ac:dyDescent="0.2">
      <c r="B1568" s="124"/>
    </row>
    <row r="1569" spans="2:2" x14ac:dyDescent="0.2">
      <c r="B1569" s="124"/>
    </row>
    <row r="1570" spans="2:2" x14ac:dyDescent="0.2">
      <c r="B1570" s="124"/>
    </row>
    <row r="1571" spans="2:2" x14ac:dyDescent="0.2">
      <c r="B1571" s="124"/>
    </row>
    <row r="1572" spans="2:2" x14ac:dyDescent="0.2">
      <c r="B1572" s="124"/>
    </row>
    <row r="1573" spans="2:2" x14ac:dyDescent="0.2">
      <c r="B1573" s="124"/>
    </row>
    <row r="1574" spans="2:2" x14ac:dyDescent="0.2">
      <c r="B1574" s="124"/>
    </row>
    <row r="1575" spans="2:2" x14ac:dyDescent="0.2">
      <c r="B1575" s="124"/>
    </row>
    <row r="1576" spans="2:2" x14ac:dyDescent="0.2">
      <c r="B1576" s="124"/>
    </row>
    <row r="1577" spans="2:2" x14ac:dyDescent="0.2">
      <c r="B1577" s="124"/>
    </row>
    <row r="1578" spans="2:2" x14ac:dyDescent="0.2">
      <c r="B1578" s="124"/>
    </row>
    <row r="1579" spans="2:2" x14ac:dyDescent="0.2">
      <c r="B1579" s="124"/>
    </row>
    <row r="1580" spans="2:2" x14ac:dyDescent="0.2">
      <c r="B1580" s="124"/>
    </row>
    <row r="1581" spans="2:2" x14ac:dyDescent="0.2">
      <c r="B1581" s="124"/>
    </row>
    <row r="1582" spans="2:2" x14ac:dyDescent="0.2">
      <c r="B1582" s="124"/>
    </row>
    <row r="1583" spans="2:2" x14ac:dyDescent="0.2">
      <c r="B1583" s="124"/>
    </row>
    <row r="1584" spans="2:2" x14ac:dyDescent="0.2">
      <c r="B1584" s="124"/>
    </row>
    <row r="1585" spans="2:2" x14ac:dyDescent="0.2">
      <c r="B1585" s="124"/>
    </row>
    <row r="1586" spans="2:2" x14ac:dyDescent="0.2">
      <c r="B1586" s="124"/>
    </row>
    <row r="1587" spans="2:2" x14ac:dyDescent="0.2">
      <c r="B1587" s="124"/>
    </row>
    <row r="1588" spans="2:2" x14ac:dyDescent="0.2">
      <c r="B1588" s="124"/>
    </row>
    <row r="1589" spans="2:2" x14ac:dyDescent="0.2">
      <c r="B1589" s="124"/>
    </row>
    <row r="1590" spans="2:2" x14ac:dyDescent="0.2">
      <c r="B1590" s="124"/>
    </row>
    <row r="1591" spans="2:2" x14ac:dyDescent="0.2">
      <c r="B1591" s="124"/>
    </row>
    <row r="1592" spans="2:2" x14ac:dyDescent="0.2">
      <c r="B1592" s="124"/>
    </row>
    <row r="1593" spans="2:2" x14ac:dyDescent="0.2">
      <c r="B1593" s="124"/>
    </row>
    <row r="1594" spans="2:2" x14ac:dyDescent="0.2">
      <c r="B1594" s="124"/>
    </row>
    <row r="1595" spans="2:2" x14ac:dyDescent="0.2">
      <c r="B1595" s="124"/>
    </row>
    <row r="1596" spans="2:2" x14ac:dyDescent="0.2">
      <c r="B1596" s="124"/>
    </row>
    <row r="1597" spans="2:2" x14ac:dyDescent="0.2">
      <c r="B1597" s="124"/>
    </row>
    <row r="1598" spans="2:2" x14ac:dyDescent="0.2">
      <c r="B1598" s="124"/>
    </row>
    <row r="1599" spans="2:2" x14ac:dyDescent="0.2">
      <c r="B1599" s="124"/>
    </row>
    <row r="1600" spans="2:2" x14ac:dyDescent="0.2">
      <c r="B1600" s="124"/>
    </row>
    <row r="1601" spans="2:2" x14ac:dyDescent="0.2">
      <c r="B1601" s="124"/>
    </row>
    <row r="1602" spans="2:2" x14ac:dyDescent="0.2">
      <c r="B1602" s="124"/>
    </row>
    <row r="1603" spans="2:2" x14ac:dyDescent="0.2">
      <c r="B1603" s="124"/>
    </row>
    <row r="1604" spans="2:2" x14ac:dyDescent="0.2">
      <c r="B1604" s="124"/>
    </row>
    <row r="1605" spans="2:2" x14ac:dyDescent="0.2">
      <c r="B1605" s="124"/>
    </row>
    <row r="1606" spans="2:2" x14ac:dyDescent="0.2">
      <c r="B1606" s="124"/>
    </row>
    <row r="1607" spans="2:2" x14ac:dyDescent="0.2">
      <c r="B1607" s="124"/>
    </row>
    <row r="1608" spans="2:2" x14ac:dyDescent="0.2">
      <c r="B1608" s="124"/>
    </row>
    <row r="1609" spans="2:2" x14ac:dyDescent="0.2">
      <c r="B1609" s="124"/>
    </row>
    <row r="1610" spans="2:2" x14ac:dyDescent="0.2">
      <c r="B1610" s="124"/>
    </row>
    <row r="1611" spans="2:2" x14ac:dyDescent="0.2">
      <c r="B1611" s="124"/>
    </row>
    <row r="1612" spans="2:2" x14ac:dyDescent="0.2">
      <c r="B1612" s="124"/>
    </row>
    <row r="1613" spans="2:2" x14ac:dyDescent="0.2">
      <c r="B1613" s="124"/>
    </row>
    <row r="1614" spans="2:2" x14ac:dyDescent="0.2">
      <c r="B1614" s="124"/>
    </row>
    <row r="1615" spans="2:2" x14ac:dyDescent="0.2">
      <c r="B1615" s="124"/>
    </row>
    <row r="1616" spans="2:2" x14ac:dyDescent="0.2">
      <c r="B1616" s="124"/>
    </row>
    <row r="1617" spans="2:2" x14ac:dyDescent="0.2">
      <c r="B1617" s="124"/>
    </row>
    <row r="1618" spans="2:2" x14ac:dyDescent="0.2">
      <c r="B1618" s="124"/>
    </row>
    <row r="1619" spans="2:2" x14ac:dyDescent="0.2">
      <c r="B1619" s="124"/>
    </row>
    <row r="1620" spans="2:2" x14ac:dyDescent="0.2">
      <c r="B1620" s="124"/>
    </row>
    <row r="1621" spans="2:2" x14ac:dyDescent="0.2">
      <c r="B1621" s="124"/>
    </row>
    <row r="1622" spans="2:2" x14ac:dyDescent="0.2">
      <c r="B1622" s="124"/>
    </row>
    <row r="1623" spans="2:2" x14ac:dyDescent="0.2">
      <c r="B1623" s="124"/>
    </row>
    <row r="1624" spans="2:2" x14ac:dyDescent="0.2">
      <c r="B1624" s="124"/>
    </row>
    <row r="1625" spans="2:2" x14ac:dyDescent="0.2">
      <c r="B1625" s="124"/>
    </row>
    <row r="1626" spans="2:2" x14ac:dyDescent="0.2">
      <c r="B1626" s="124"/>
    </row>
    <row r="1627" spans="2:2" x14ac:dyDescent="0.2">
      <c r="B1627" s="124"/>
    </row>
    <row r="1628" spans="2:2" x14ac:dyDescent="0.2">
      <c r="B1628" s="124"/>
    </row>
    <row r="1629" spans="2:2" x14ac:dyDescent="0.2">
      <c r="B1629" s="124"/>
    </row>
    <row r="1630" spans="2:2" x14ac:dyDescent="0.2">
      <c r="B1630" s="124"/>
    </row>
    <row r="1631" spans="2:2" x14ac:dyDescent="0.2">
      <c r="B1631" s="124"/>
    </row>
    <row r="1632" spans="2:2" x14ac:dyDescent="0.2">
      <c r="B1632" s="124"/>
    </row>
    <row r="1633" spans="2:2" x14ac:dyDescent="0.2">
      <c r="B1633" s="124"/>
    </row>
    <row r="1634" spans="2:2" x14ac:dyDescent="0.2">
      <c r="B1634" s="124"/>
    </row>
    <row r="1635" spans="2:2" x14ac:dyDescent="0.2">
      <c r="B1635" s="124"/>
    </row>
    <row r="1636" spans="2:2" x14ac:dyDescent="0.2">
      <c r="B1636" s="124"/>
    </row>
    <row r="1637" spans="2:2" x14ac:dyDescent="0.2">
      <c r="B1637" s="124"/>
    </row>
    <row r="1638" spans="2:2" x14ac:dyDescent="0.2">
      <c r="B1638" s="124"/>
    </row>
    <row r="1639" spans="2:2" x14ac:dyDescent="0.2">
      <c r="B1639" s="124"/>
    </row>
    <row r="1640" spans="2:2" x14ac:dyDescent="0.2">
      <c r="B1640" s="124"/>
    </row>
    <row r="1641" spans="2:2" x14ac:dyDescent="0.2">
      <c r="B1641" s="124"/>
    </row>
    <row r="1642" spans="2:2" x14ac:dyDescent="0.2">
      <c r="B1642" s="124"/>
    </row>
    <row r="1643" spans="2:2" x14ac:dyDescent="0.2">
      <c r="B1643" s="124"/>
    </row>
    <row r="1644" spans="2:2" x14ac:dyDescent="0.2">
      <c r="B1644" s="124"/>
    </row>
    <row r="1645" spans="2:2" x14ac:dyDescent="0.2">
      <c r="B1645" s="124"/>
    </row>
    <row r="1646" spans="2:2" x14ac:dyDescent="0.2">
      <c r="B1646" s="124"/>
    </row>
    <row r="1647" spans="2:2" x14ac:dyDescent="0.2">
      <c r="B1647" s="124"/>
    </row>
    <row r="1648" spans="2:2" x14ac:dyDescent="0.2">
      <c r="B1648" s="124"/>
    </row>
    <row r="1649" spans="2:2" x14ac:dyDescent="0.2">
      <c r="B1649" s="124"/>
    </row>
    <row r="1650" spans="2:2" x14ac:dyDescent="0.2">
      <c r="B1650" s="124"/>
    </row>
    <row r="1651" spans="2:2" x14ac:dyDescent="0.2">
      <c r="B1651" s="124"/>
    </row>
    <row r="1652" spans="2:2" x14ac:dyDescent="0.2">
      <c r="B1652" s="124"/>
    </row>
    <row r="1653" spans="2:2" x14ac:dyDescent="0.2">
      <c r="B1653" s="124"/>
    </row>
    <row r="1654" spans="2:2" x14ac:dyDescent="0.2">
      <c r="B1654" s="124"/>
    </row>
    <row r="1655" spans="2:2" x14ac:dyDescent="0.2">
      <c r="B1655" s="124"/>
    </row>
    <row r="1656" spans="2:2" x14ac:dyDescent="0.2">
      <c r="B1656" s="124"/>
    </row>
    <row r="1657" spans="2:2" x14ac:dyDescent="0.2">
      <c r="B1657" s="124"/>
    </row>
    <row r="1658" spans="2:2" x14ac:dyDescent="0.2">
      <c r="B1658" s="124"/>
    </row>
    <row r="1659" spans="2:2" x14ac:dyDescent="0.2">
      <c r="B1659" s="124"/>
    </row>
    <row r="1660" spans="2:2" x14ac:dyDescent="0.2">
      <c r="B1660" s="124"/>
    </row>
    <row r="1661" spans="2:2" x14ac:dyDescent="0.2">
      <c r="B1661" s="124"/>
    </row>
    <row r="1662" spans="2:2" x14ac:dyDescent="0.2">
      <c r="B1662" s="124"/>
    </row>
    <row r="1663" spans="2:2" x14ac:dyDescent="0.2">
      <c r="B1663" s="124"/>
    </row>
    <row r="1664" spans="2:2" x14ac:dyDescent="0.2">
      <c r="B1664" s="124"/>
    </row>
    <row r="1665" spans="2:2" x14ac:dyDescent="0.2">
      <c r="B1665" s="124"/>
    </row>
    <row r="1666" spans="2:2" x14ac:dyDescent="0.2">
      <c r="B1666" s="124"/>
    </row>
    <row r="1667" spans="2:2" x14ac:dyDescent="0.2">
      <c r="B1667" s="124"/>
    </row>
    <row r="1668" spans="2:2" x14ac:dyDescent="0.2">
      <c r="B1668" s="124"/>
    </row>
    <row r="1669" spans="2:2" x14ac:dyDescent="0.2">
      <c r="B1669" s="124"/>
    </row>
    <row r="1670" spans="2:2" x14ac:dyDescent="0.2">
      <c r="B1670" s="124"/>
    </row>
    <row r="1671" spans="2:2" x14ac:dyDescent="0.2">
      <c r="B1671" s="124"/>
    </row>
    <row r="1672" spans="2:2" x14ac:dyDescent="0.2">
      <c r="B1672" s="124"/>
    </row>
    <row r="1673" spans="2:2" x14ac:dyDescent="0.2">
      <c r="B1673" s="124"/>
    </row>
    <row r="1674" spans="2:2" x14ac:dyDescent="0.2">
      <c r="B1674" s="124"/>
    </row>
    <row r="1675" spans="2:2" x14ac:dyDescent="0.2">
      <c r="B1675" s="124"/>
    </row>
    <row r="1676" spans="2:2" x14ac:dyDescent="0.2">
      <c r="B1676" s="124"/>
    </row>
    <row r="1677" spans="2:2" x14ac:dyDescent="0.2">
      <c r="B1677" s="124"/>
    </row>
    <row r="1678" spans="2:2" x14ac:dyDescent="0.2">
      <c r="B1678" s="124"/>
    </row>
    <row r="1679" spans="2:2" x14ac:dyDescent="0.2">
      <c r="B1679" s="124"/>
    </row>
    <row r="1680" spans="2:2" x14ac:dyDescent="0.2">
      <c r="B1680" s="124"/>
    </row>
    <row r="1681" spans="2:2" x14ac:dyDescent="0.2">
      <c r="B1681" s="124"/>
    </row>
    <row r="1682" spans="2:2" x14ac:dyDescent="0.2">
      <c r="B1682" s="124"/>
    </row>
    <row r="1683" spans="2:2" x14ac:dyDescent="0.2">
      <c r="B1683" s="124"/>
    </row>
    <row r="1684" spans="2:2" x14ac:dyDescent="0.2">
      <c r="B1684" s="124"/>
    </row>
    <row r="1685" spans="2:2" x14ac:dyDescent="0.2">
      <c r="B1685" s="124"/>
    </row>
    <row r="1686" spans="2:2" x14ac:dyDescent="0.2">
      <c r="B1686" s="124"/>
    </row>
    <row r="1687" spans="2:2" x14ac:dyDescent="0.2">
      <c r="B1687" s="124"/>
    </row>
    <row r="1688" spans="2:2" x14ac:dyDescent="0.2">
      <c r="B1688" s="124"/>
    </row>
    <row r="1689" spans="2:2" x14ac:dyDescent="0.2">
      <c r="B1689" s="124"/>
    </row>
    <row r="1690" spans="2:2" x14ac:dyDescent="0.2">
      <c r="B1690" s="124"/>
    </row>
    <row r="1691" spans="2:2" x14ac:dyDescent="0.2">
      <c r="B1691" s="124"/>
    </row>
    <row r="1692" spans="2:2" x14ac:dyDescent="0.2">
      <c r="B1692" s="124"/>
    </row>
    <row r="1693" spans="2:2" x14ac:dyDescent="0.2">
      <c r="B1693" s="124"/>
    </row>
    <row r="1694" spans="2:2" x14ac:dyDescent="0.2">
      <c r="B1694" s="124"/>
    </row>
    <row r="1695" spans="2:2" x14ac:dyDescent="0.2">
      <c r="B1695" s="124"/>
    </row>
    <row r="1696" spans="2:2" x14ac:dyDescent="0.2">
      <c r="B1696" s="124"/>
    </row>
    <row r="1697" spans="2:2" x14ac:dyDescent="0.2">
      <c r="B1697" s="124"/>
    </row>
    <row r="1698" spans="2:2" x14ac:dyDescent="0.2">
      <c r="B1698" s="124"/>
    </row>
    <row r="1699" spans="2:2" x14ac:dyDescent="0.2">
      <c r="B1699" s="124"/>
    </row>
    <row r="1700" spans="2:2" x14ac:dyDescent="0.2">
      <c r="B1700" s="124"/>
    </row>
    <row r="1701" spans="2:2" x14ac:dyDescent="0.2">
      <c r="B1701" s="124"/>
    </row>
    <row r="1702" spans="2:2" x14ac:dyDescent="0.2">
      <c r="B1702" s="124"/>
    </row>
    <row r="1703" spans="2:2" x14ac:dyDescent="0.2">
      <c r="B1703" s="124"/>
    </row>
    <row r="1704" spans="2:2" x14ac:dyDescent="0.2">
      <c r="B1704" s="124"/>
    </row>
    <row r="1705" spans="2:2" x14ac:dyDescent="0.2">
      <c r="B1705" s="124"/>
    </row>
    <row r="1706" spans="2:2" x14ac:dyDescent="0.2">
      <c r="B1706" s="124"/>
    </row>
    <row r="1707" spans="2:2" x14ac:dyDescent="0.2">
      <c r="B1707" s="124"/>
    </row>
    <row r="1708" spans="2:2" x14ac:dyDescent="0.2">
      <c r="B1708" s="124"/>
    </row>
    <row r="1709" spans="2:2" x14ac:dyDescent="0.2">
      <c r="B1709" s="124"/>
    </row>
    <row r="1710" spans="2:2" x14ac:dyDescent="0.2">
      <c r="B1710" s="124"/>
    </row>
    <row r="1711" spans="2:2" x14ac:dyDescent="0.2">
      <c r="B1711" s="124"/>
    </row>
    <row r="1712" spans="2:2" x14ac:dyDescent="0.2">
      <c r="B1712" s="124"/>
    </row>
    <row r="1713" spans="2:2" x14ac:dyDescent="0.2">
      <c r="B1713" s="124"/>
    </row>
    <row r="1714" spans="2:2" x14ac:dyDescent="0.2">
      <c r="B1714" s="124"/>
    </row>
    <row r="1715" spans="2:2" x14ac:dyDescent="0.2">
      <c r="B1715" s="124"/>
    </row>
    <row r="1716" spans="2:2" x14ac:dyDescent="0.2">
      <c r="B1716" s="124"/>
    </row>
    <row r="1717" spans="2:2" x14ac:dyDescent="0.2">
      <c r="B1717" s="124"/>
    </row>
    <row r="1718" spans="2:2" x14ac:dyDescent="0.2">
      <c r="B1718" s="124"/>
    </row>
    <row r="1719" spans="2:2" x14ac:dyDescent="0.2">
      <c r="B1719" s="124"/>
    </row>
    <row r="1720" spans="2:2" x14ac:dyDescent="0.2">
      <c r="B1720" s="124"/>
    </row>
    <row r="1721" spans="2:2" x14ac:dyDescent="0.2">
      <c r="B1721" s="124"/>
    </row>
    <row r="1722" spans="2:2" x14ac:dyDescent="0.2">
      <c r="B1722" s="124"/>
    </row>
    <row r="1723" spans="2:2" x14ac:dyDescent="0.2">
      <c r="B1723" s="124"/>
    </row>
    <row r="1724" spans="2:2" x14ac:dyDescent="0.2">
      <c r="B1724" s="124"/>
    </row>
    <row r="1725" spans="2:2" x14ac:dyDescent="0.2">
      <c r="B1725" s="124"/>
    </row>
    <row r="1726" spans="2:2" x14ac:dyDescent="0.2">
      <c r="B1726" s="124"/>
    </row>
    <row r="1727" spans="2:2" x14ac:dyDescent="0.2">
      <c r="B1727" s="124"/>
    </row>
    <row r="1728" spans="2:2" x14ac:dyDescent="0.2">
      <c r="B1728" s="124"/>
    </row>
    <row r="1729" spans="2:2" x14ac:dyDescent="0.2">
      <c r="B1729" s="124"/>
    </row>
    <row r="1730" spans="2:2" x14ac:dyDescent="0.2">
      <c r="B1730" s="124"/>
    </row>
    <row r="1731" spans="2:2" x14ac:dyDescent="0.2">
      <c r="B1731" s="124"/>
    </row>
    <row r="1732" spans="2:2" x14ac:dyDescent="0.2">
      <c r="B1732" s="124"/>
    </row>
    <row r="1733" spans="2:2" x14ac:dyDescent="0.2">
      <c r="B1733" s="124"/>
    </row>
    <row r="1734" spans="2:2" x14ac:dyDescent="0.2">
      <c r="B1734" s="124"/>
    </row>
    <row r="1735" spans="2:2" x14ac:dyDescent="0.2">
      <c r="B1735" s="124"/>
    </row>
    <row r="1736" spans="2:2" x14ac:dyDescent="0.2">
      <c r="B1736" s="124"/>
    </row>
    <row r="1737" spans="2:2" x14ac:dyDescent="0.2">
      <c r="B1737" s="124"/>
    </row>
    <row r="1738" spans="2:2" x14ac:dyDescent="0.2">
      <c r="B1738" s="124"/>
    </row>
    <row r="1739" spans="2:2" x14ac:dyDescent="0.2">
      <c r="B1739" s="124"/>
    </row>
    <row r="1740" spans="2:2" x14ac:dyDescent="0.2">
      <c r="B1740" s="124"/>
    </row>
    <row r="1741" spans="2:2" x14ac:dyDescent="0.2">
      <c r="B1741" s="124"/>
    </row>
    <row r="1742" spans="2:2" x14ac:dyDescent="0.2">
      <c r="B1742" s="124"/>
    </row>
    <row r="1743" spans="2:2" x14ac:dyDescent="0.2">
      <c r="B1743" s="124"/>
    </row>
    <row r="1744" spans="2:2" x14ac:dyDescent="0.2">
      <c r="B1744" s="124"/>
    </row>
    <row r="1745" spans="2:2" x14ac:dyDescent="0.2">
      <c r="B1745" s="124"/>
    </row>
    <row r="1746" spans="2:2" x14ac:dyDescent="0.2">
      <c r="B1746" s="124"/>
    </row>
    <row r="1747" spans="2:2" x14ac:dyDescent="0.2">
      <c r="B1747" s="124"/>
    </row>
    <row r="1748" spans="2:2" x14ac:dyDescent="0.2">
      <c r="B1748" s="124"/>
    </row>
    <row r="1749" spans="2:2" x14ac:dyDescent="0.2">
      <c r="B1749" s="124"/>
    </row>
    <row r="1750" spans="2:2" x14ac:dyDescent="0.2">
      <c r="B1750" s="124"/>
    </row>
    <row r="1751" spans="2:2" x14ac:dyDescent="0.2">
      <c r="B1751" s="124"/>
    </row>
    <row r="1752" spans="2:2" x14ac:dyDescent="0.2">
      <c r="B1752" s="124"/>
    </row>
    <row r="1753" spans="2:2" x14ac:dyDescent="0.2">
      <c r="B1753" s="124"/>
    </row>
    <row r="1754" spans="2:2" x14ac:dyDescent="0.2">
      <c r="B1754" s="124"/>
    </row>
    <row r="1755" spans="2:2" x14ac:dyDescent="0.2">
      <c r="B1755" s="124"/>
    </row>
    <row r="1756" spans="2:2" x14ac:dyDescent="0.2">
      <c r="B1756" s="124"/>
    </row>
    <row r="1757" spans="2:2" x14ac:dyDescent="0.2">
      <c r="B1757" s="124"/>
    </row>
    <row r="1758" spans="2:2" x14ac:dyDescent="0.2">
      <c r="B1758" s="124"/>
    </row>
    <row r="1759" spans="2:2" x14ac:dyDescent="0.2">
      <c r="B1759" s="124"/>
    </row>
    <row r="1760" spans="2:2" x14ac:dyDescent="0.2">
      <c r="B1760" s="124"/>
    </row>
    <row r="1761" spans="2:2" x14ac:dyDescent="0.2">
      <c r="B1761" s="124"/>
    </row>
    <row r="1762" spans="2:2" x14ac:dyDescent="0.2">
      <c r="B1762" s="124"/>
    </row>
    <row r="1763" spans="2:2" x14ac:dyDescent="0.2">
      <c r="B1763" s="124"/>
    </row>
    <row r="1764" spans="2:2" x14ac:dyDescent="0.2">
      <c r="B1764" s="124"/>
    </row>
    <row r="1765" spans="2:2" x14ac:dyDescent="0.2">
      <c r="B1765" s="124"/>
    </row>
    <row r="1766" spans="2:2" x14ac:dyDescent="0.2">
      <c r="B1766" s="124"/>
    </row>
    <row r="1767" spans="2:2" x14ac:dyDescent="0.2">
      <c r="B1767" s="124"/>
    </row>
    <row r="1768" spans="2:2" x14ac:dyDescent="0.2">
      <c r="B1768" s="124"/>
    </row>
    <row r="1769" spans="2:2" x14ac:dyDescent="0.2">
      <c r="B1769" s="124"/>
    </row>
    <row r="1770" spans="2:2" x14ac:dyDescent="0.2">
      <c r="B1770" s="124"/>
    </row>
    <row r="1771" spans="2:2" x14ac:dyDescent="0.2">
      <c r="B1771" s="124"/>
    </row>
    <row r="1772" spans="2:2" x14ac:dyDescent="0.2">
      <c r="B1772" s="124"/>
    </row>
    <row r="1773" spans="2:2" x14ac:dyDescent="0.2">
      <c r="B1773" s="124"/>
    </row>
    <row r="1774" spans="2:2" x14ac:dyDescent="0.2">
      <c r="B1774" s="124"/>
    </row>
    <row r="1775" spans="2:2" x14ac:dyDescent="0.2">
      <c r="B1775" s="124"/>
    </row>
    <row r="1776" spans="2:2" x14ac:dyDescent="0.2">
      <c r="B1776" s="124"/>
    </row>
    <row r="1777" spans="2:2" x14ac:dyDescent="0.2">
      <c r="B1777" s="124"/>
    </row>
    <row r="1778" spans="2:2" x14ac:dyDescent="0.2">
      <c r="B1778" s="124"/>
    </row>
    <row r="1779" spans="2:2" x14ac:dyDescent="0.2">
      <c r="B1779" s="124"/>
    </row>
    <row r="1780" spans="2:2" x14ac:dyDescent="0.2">
      <c r="B1780" s="124"/>
    </row>
    <row r="1781" spans="2:2" x14ac:dyDescent="0.2">
      <c r="B1781" s="124"/>
    </row>
    <row r="1782" spans="2:2" x14ac:dyDescent="0.2">
      <c r="B1782" s="124"/>
    </row>
    <row r="1783" spans="2:2" x14ac:dyDescent="0.2">
      <c r="B1783" s="124"/>
    </row>
    <row r="1784" spans="2:2" x14ac:dyDescent="0.2">
      <c r="B1784" s="124"/>
    </row>
    <row r="1785" spans="2:2" x14ac:dyDescent="0.2">
      <c r="B1785" s="124"/>
    </row>
    <row r="1786" spans="2:2" x14ac:dyDescent="0.2">
      <c r="B1786" s="124"/>
    </row>
    <row r="1787" spans="2:2" x14ac:dyDescent="0.2">
      <c r="B1787" s="124"/>
    </row>
    <row r="1788" spans="2:2" x14ac:dyDescent="0.2">
      <c r="B1788" s="124"/>
    </row>
    <row r="1789" spans="2:2" x14ac:dyDescent="0.2">
      <c r="B1789" s="124"/>
    </row>
    <row r="1790" spans="2:2" x14ac:dyDescent="0.2">
      <c r="B1790" s="124"/>
    </row>
    <row r="1791" spans="2:2" x14ac:dyDescent="0.2">
      <c r="B1791" s="124"/>
    </row>
    <row r="1792" spans="2:2" x14ac:dyDescent="0.2">
      <c r="B1792" s="124"/>
    </row>
    <row r="1793" spans="2:2" x14ac:dyDescent="0.2">
      <c r="B1793" s="124"/>
    </row>
    <row r="1794" spans="2:2" x14ac:dyDescent="0.2">
      <c r="B1794" s="124"/>
    </row>
    <row r="1795" spans="2:2" x14ac:dyDescent="0.2">
      <c r="B1795" s="124"/>
    </row>
    <row r="1796" spans="2:2" x14ac:dyDescent="0.2">
      <c r="B1796" s="124"/>
    </row>
    <row r="1797" spans="2:2" x14ac:dyDescent="0.2">
      <c r="B1797" s="124"/>
    </row>
    <row r="1798" spans="2:2" x14ac:dyDescent="0.2">
      <c r="B1798" s="124"/>
    </row>
    <row r="1799" spans="2:2" x14ac:dyDescent="0.2">
      <c r="B1799" s="124"/>
    </row>
    <row r="1800" spans="2:2" x14ac:dyDescent="0.2">
      <c r="B1800" s="124"/>
    </row>
    <row r="1801" spans="2:2" x14ac:dyDescent="0.2">
      <c r="B1801" s="124"/>
    </row>
    <row r="1802" spans="2:2" x14ac:dyDescent="0.2">
      <c r="B1802" s="124"/>
    </row>
    <row r="1803" spans="2:2" x14ac:dyDescent="0.2">
      <c r="B1803" s="124"/>
    </row>
    <row r="1804" spans="2:2" x14ac:dyDescent="0.2">
      <c r="B1804" s="124"/>
    </row>
    <row r="1805" spans="2:2" x14ac:dyDescent="0.2">
      <c r="B1805" s="124"/>
    </row>
    <row r="1806" spans="2:2" x14ac:dyDescent="0.2">
      <c r="B1806" s="124"/>
    </row>
    <row r="1807" spans="2:2" x14ac:dyDescent="0.2">
      <c r="B1807" s="124"/>
    </row>
    <row r="1808" spans="2:2" x14ac:dyDescent="0.2">
      <c r="B1808" s="124"/>
    </row>
    <row r="1809" spans="2:2" x14ac:dyDescent="0.2">
      <c r="B1809" s="124"/>
    </row>
    <row r="1810" spans="2:2" x14ac:dyDescent="0.2">
      <c r="B1810" s="124"/>
    </row>
    <row r="1811" spans="2:2" x14ac:dyDescent="0.2">
      <c r="B1811" s="124"/>
    </row>
    <row r="1812" spans="2:2" x14ac:dyDescent="0.2">
      <c r="B1812" s="124"/>
    </row>
    <row r="1813" spans="2:2" x14ac:dyDescent="0.2">
      <c r="B1813" s="124"/>
    </row>
    <row r="1814" spans="2:2" x14ac:dyDescent="0.2">
      <c r="B1814" s="124"/>
    </row>
    <row r="1815" spans="2:2" x14ac:dyDescent="0.2">
      <c r="B1815" s="124"/>
    </row>
    <row r="1816" spans="2:2" x14ac:dyDescent="0.2">
      <c r="B1816" s="124"/>
    </row>
    <row r="1817" spans="2:2" x14ac:dyDescent="0.2">
      <c r="B1817" s="124"/>
    </row>
    <row r="1818" spans="2:2" x14ac:dyDescent="0.2">
      <c r="B1818" s="124"/>
    </row>
    <row r="1819" spans="2:2" x14ac:dyDescent="0.2">
      <c r="B1819" s="124"/>
    </row>
    <row r="1820" spans="2:2" x14ac:dyDescent="0.2">
      <c r="B1820" s="124"/>
    </row>
    <row r="1821" spans="2:2" x14ac:dyDescent="0.2">
      <c r="B1821" s="124"/>
    </row>
    <row r="1822" spans="2:2" x14ac:dyDescent="0.2">
      <c r="B1822" s="124"/>
    </row>
    <row r="1823" spans="2:2" x14ac:dyDescent="0.2">
      <c r="B1823" s="124"/>
    </row>
    <row r="1824" spans="2:2" x14ac:dyDescent="0.2">
      <c r="B1824" s="124"/>
    </row>
    <row r="1825" spans="2:2" x14ac:dyDescent="0.2">
      <c r="B1825" s="124"/>
    </row>
    <row r="1826" spans="2:2" x14ac:dyDescent="0.2">
      <c r="B1826" s="124"/>
    </row>
    <row r="1827" spans="2:2" x14ac:dyDescent="0.2">
      <c r="B1827" s="124"/>
    </row>
    <row r="1828" spans="2:2" x14ac:dyDescent="0.2">
      <c r="B1828" s="124"/>
    </row>
    <row r="1829" spans="2:2" x14ac:dyDescent="0.2">
      <c r="B1829" s="124"/>
    </row>
    <row r="1830" spans="2:2" x14ac:dyDescent="0.2">
      <c r="B1830" s="124"/>
    </row>
    <row r="1831" spans="2:2" x14ac:dyDescent="0.2">
      <c r="B1831" s="124"/>
    </row>
    <row r="1832" spans="2:2" x14ac:dyDescent="0.2">
      <c r="B1832" s="124"/>
    </row>
    <row r="1833" spans="2:2" x14ac:dyDescent="0.2">
      <c r="B1833" s="124"/>
    </row>
    <row r="1834" spans="2:2" x14ac:dyDescent="0.2">
      <c r="B1834" s="124"/>
    </row>
    <row r="1835" spans="2:2" x14ac:dyDescent="0.2">
      <c r="B1835" s="124"/>
    </row>
    <row r="1836" spans="2:2" x14ac:dyDescent="0.2">
      <c r="B1836" s="124"/>
    </row>
    <row r="1837" spans="2:2" x14ac:dyDescent="0.2">
      <c r="B1837" s="124"/>
    </row>
    <row r="1838" spans="2:2" x14ac:dyDescent="0.2">
      <c r="B1838" s="124"/>
    </row>
    <row r="1839" spans="2:2" x14ac:dyDescent="0.2">
      <c r="B1839" s="124"/>
    </row>
    <row r="1840" spans="2:2" x14ac:dyDescent="0.2">
      <c r="B1840" s="124"/>
    </row>
    <row r="1841" spans="2:2" x14ac:dyDescent="0.2">
      <c r="B1841" s="124"/>
    </row>
    <row r="1842" spans="2:2" x14ac:dyDescent="0.2">
      <c r="B1842" s="124"/>
    </row>
    <row r="1843" spans="2:2" x14ac:dyDescent="0.2">
      <c r="B1843" s="124"/>
    </row>
    <row r="1844" spans="2:2" x14ac:dyDescent="0.2">
      <c r="B1844" s="124"/>
    </row>
    <row r="1845" spans="2:2" x14ac:dyDescent="0.2">
      <c r="B1845" s="124"/>
    </row>
    <row r="1846" spans="2:2" x14ac:dyDescent="0.2">
      <c r="B1846" s="124"/>
    </row>
    <row r="1847" spans="2:2" x14ac:dyDescent="0.2">
      <c r="B1847" s="124"/>
    </row>
    <row r="1848" spans="2:2" x14ac:dyDescent="0.2">
      <c r="B1848" s="124"/>
    </row>
    <row r="1849" spans="2:2" x14ac:dyDescent="0.2">
      <c r="B1849" s="124"/>
    </row>
    <row r="1850" spans="2:2" x14ac:dyDescent="0.2">
      <c r="B1850" s="124"/>
    </row>
    <row r="1851" spans="2:2" x14ac:dyDescent="0.2">
      <c r="B1851" s="124"/>
    </row>
    <row r="1852" spans="2:2" x14ac:dyDescent="0.2">
      <c r="B1852" s="124"/>
    </row>
    <row r="1853" spans="2:2" x14ac:dyDescent="0.2">
      <c r="B1853" s="124"/>
    </row>
    <row r="1854" spans="2:2" x14ac:dyDescent="0.2">
      <c r="B1854" s="124"/>
    </row>
    <row r="1855" spans="2:2" x14ac:dyDescent="0.2">
      <c r="B1855" s="124"/>
    </row>
    <row r="1856" spans="2:2" x14ac:dyDescent="0.2">
      <c r="B1856" s="124"/>
    </row>
    <row r="1857" spans="2:2" x14ac:dyDescent="0.2">
      <c r="B1857" s="124"/>
    </row>
    <row r="1858" spans="2:2" x14ac:dyDescent="0.2">
      <c r="B1858" s="124"/>
    </row>
    <row r="1859" spans="2:2" x14ac:dyDescent="0.2">
      <c r="B1859" s="124"/>
    </row>
    <row r="1860" spans="2:2" x14ac:dyDescent="0.2">
      <c r="B1860" s="124"/>
    </row>
    <row r="1861" spans="2:2" x14ac:dyDescent="0.2">
      <c r="B1861" s="124"/>
    </row>
    <row r="1862" spans="2:2" x14ac:dyDescent="0.2">
      <c r="B1862" s="124"/>
    </row>
    <row r="1863" spans="2:2" x14ac:dyDescent="0.2">
      <c r="B1863" s="124"/>
    </row>
    <row r="1864" spans="2:2" x14ac:dyDescent="0.2">
      <c r="B1864" s="124"/>
    </row>
    <row r="1865" spans="2:2" x14ac:dyDescent="0.2">
      <c r="B1865" s="124"/>
    </row>
    <row r="1866" spans="2:2" x14ac:dyDescent="0.2">
      <c r="B1866" s="124"/>
    </row>
    <row r="1867" spans="2:2" x14ac:dyDescent="0.2">
      <c r="B1867" s="124"/>
    </row>
    <row r="1868" spans="2:2" x14ac:dyDescent="0.2">
      <c r="B1868" s="124"/>
    </row>
    <row r="1869" spans="2:2" x14ac:dyDescent="0.2">
      <c r="B1869" s="124"/>
    </row>
    <row r="1870" spans="2:2" x14ac:dyDescent="0.2">
      <c r="B1870" s="124"/>
    </row>
    <row r="1871" spans="2:2" x14ac:dyDescent="0.2">
      <c r="B1871" s="124"/>
    </row>
    <row r="1872" spans="2:2" x14ac:dyDescent="0.2">
      <c r="B1872" s="124"/>
    </row>
    <row r="1873" spans="2:2" x14ac:dyDescent="0.2">
      <c r="B1873" s="124"/>
    </row>
    <row r="1874" spans="2:2" x14ac:dyDescent="0.2">
      <c r="B1874" s="124"/>
    </row>
    <row r="1875" spans="2:2" x14ac:dyDescent="0.2">
      <c r="B1875" s="124"/>
    </row>
    <row r="1876" spans="2:2" x14ac:dyDescent="0.2">
      <c r="B1876" s="124"/>
    </row>
    <row r="1877" spans="2:2" x14ac:dyDescent="0.2">
      <c r="B1877" s="124"/>
    </row>
    <row r="1878" spans="2:2" x14ac:dyDescent="0.2">
      <c r="B1878" s="124"/>
    </row>
    <row r="1879" spans="2:2" x14ac:dyDescent="0.2">
      <c r="B1879" s="124"/>
    </row>
    <row r="1880" spans="2:2" x14ac:dyDescent="0.2">
      <c r="B1880" s="124"/>
    </row>
    <row r="1881" spans="2:2" x14ac:dyDescent="0.2">
      <c r="B1881" s="124"/>
    </row>
    <row r="1882" spans="2:2" x14ac:dyDescent="0.2">
      <c r="B1882" s="124"/>
    </row>
    <row r="1883" spans="2:2" x14ac:dyDescent="0.2">
      <c r="B1883" s="124"/>
    </row>
    <row r="1884" spans="2:2" x14ac:dyDescent="0.2">
      <c r="B1884" s="124"/>
    </row>
    <row r="1885" spans="2:2" x14ac:dyDescent="0.2">
      <c r="B1885" s="124"/>
    </row>
    <row r="1886" spans="2:2" x14ac:dyDescent="0.2">
      <c r="B1886" s="124"/>
    </row>
    <row r="1887" spans="2:2" x14ac:dyDescent="0.2">
      <c r="B1887" s="124"/>
    </row>
    <row r="1888" spans="2:2" x14ac:dyDescent="0.2">
      <c r="B1888" s="124"/>
    </row>
    <row r="1889" spans="2:2" x14ac:dyDescent="0.2">
      <c r="B1889" s="124"/>
    </row>
    <row r="1890" spans="2:2" x14ac:dyDescent="0.2">
      <c r="B1890" s="124"/>
    </row>
    <row r="1891" spans="2:2" x14ac:dyDescent="0.2">
      <c r="B1891" s="124"/>
    </row>
    <row r="1892" spans="2:2" x14ac:dyDescent="0.2">
      <c r="B1892" s="124"/>
    </row>
    <row r="1893" spans="2:2" x14ac:dyDescent="0.2">
      <c r="B1893" s="124"/>
    </row>
    <row r="1894" spans="2:2" x14ac:dyDescent="0.2">
      <c r="B1894" s="124"/>
    </row>
    <row r="1895" spans="2:2" x14ac:dyDescent="0.2">
      <c r="B1895" s="124"/>
    </row>
    <row r="1896" spans="2:2" x14ac:dyDescent="0.2">
      <c r="B1896" s="124"/>
    </row>
    <row r="1897" spans="2:2" x14ac:dyDescent="0.2">
      <c r="B1897" s="124"/>
    </row>
    <row r="1898" spans="2:2" x14ac:dyDescent="0.2">
      <c r="B1898" s="124"/>
    </row>
    <row r="1899" spans="2:2" x14ac:dyDescent="0.2">
      <c r="B1899" s="124"/>
    </row>
    <row r="1900" spans="2:2" x14ac:dyDescent="0.2">
      <c r="B1900" s="124"/>
    </row>
    <row r="1901" spans="2:2" x14ac:dyDescent="0.2">
      <c r="B1901" s="124"/>
    </row>
    <row r="1902" spans="2:2" x14ac:dyDescent="0.2">
      <c r="B1902" s="124"/>
    </row>
    <row r="1903" spans="2:2" x14ac:dyDescent="0.2">
      <c r="B1903" s="124"/>
    </row>
    <row r="1904" spans="2:2" x14ac:dyDescent="0.2">
      <c r="B1904" s="124"/>
    </row>
    <row r="1905" spans="2:2" x14ac:dyDescent="0.2">
      <c r="B1905" s="124"/>
    </row>
    <row r="1906" spans="2:2" x14ac:dyDescent="0.2">
      <c r="B1906" s="124"/>
    </row>
    <row r="1907" spans="2:2" x14ac:dyDescent="0.2">
      <c r="B1907" s="124"/>
    </row>
    <row r="1908" spans="2:2" x14ac:dyDescent="0.2">
      <c r="B1908" s="124"/>
    </row>
    <row r="1909" spans="2:2" x14ac:dyDescent="0.2">
      <c r="B1909" s="124"/>
    </row>
    <row r="1910" spans="2:2" x14ac:dyDescent="0.2">
      <c r="B1910" s="124"/>
    </row>
    <row r="1911" spans="2:2" x14ac:dyDescent="0.2">
      <c r="B1911" s="124"/>
    </row>
    <row r="1912" spans="2:2" x14ac:dyDescent="0.2">
      <c r="B1912" s="124"/>
    </row>
    <row r="1913" spans="2:2" x14ac:dyDescent="0.2">
      <c r="B1913" s="124"/>
    </row>
    <row r="1914" spans="2:2" x14ac:dyDescent="0.2">
      <c r="B1914" s="124"/>
    </row>
    <row r="1915" spans="2:2" x14ac:dyDescent="0.2">
      <c r="B1915" s="124"/>
    </row>
    <row r="1916" spans="2:2" x14ac:dyDescent="0.2">
      <c r="B1916" s="124"/>
    </row>
    <row r="1917" spans="2:2" x14ac:dyDescent="0.2">
      <c r="B1917" s="124"/>
    </row>
    <row r="1918" spans="2:2" x14ac:dyDescent="0.2">
      <c r="B1918" s="124"/>
    </row>
    <row r="1919" spans="2:2" x14ac:dyDescent="0.2">
      <c r="B1919" s="124"/>
    </row>
    <row r="1920" spans="2:2" x14ac:dyDescent="0.2">
      <c r="B1920" s="124"/>
    </row>
    <row r="1921" spans="2:2" x14ac:dyDescent="0.2">
      <c r="B1921" s="124"/>
    </row>
    <row r="1922" spans="2:2" x14ac:dyDescent="0.2">
      <c r="B1922" s="124"/>
    </row>
    <row r="1923" spans="2:2" x14ac:dyDescent="0.2">
      <c r="B1923" s="124"/>
    </row>
    <row r="1924" spans="2:2" x14ac:dyDescent="0.2">
      <c r="B1924" s="124"/>
    </row>
    <row r="1925" spans="2:2" x14ac:dyDescent="0.2">
      <c r="B1925" s="124"/>
    </row>
    <row r="1926" spans="2:2" x14ac:dyDescent="0.2">
      <c r="B1926" s="124"/>
    </row>
    <row r="1927" spans="2:2" x14ac:dyDescent="0.2">
      <c r="B1927" s="124"/>
    </row>
    <row r="1928" spans="2:2" x14ac:dyDescent="0.2">
      <c r="B1928" s="124"/>
    </row>
    <row r="1929" spans="2:2" x14ac:dyDescent="0.2">
      <c r="B1929" s="124"/>
    </row>
    <row r="1930" spans="2:2" x14ac:dyDescent="0.2">
      <c r="B1930" s="124"/>
    </row>
    <row r="1931" spans="2:2" x14ac:dyDescent="0.2">
      <c r="B1931" s="124"/>
    </row>
    <row r="1932" spans="2:2" x14ac:dyDescent="0.2">
      <c r="B1932" s="124"/>
    </row>
    <row r="1933" spans="2:2" x14ac:dyDescent="0.2">
      <c r="B1933" s="124"/>
    </row>
    <row r="1934" spans="2:2" x14ac:dyDescent="0.2">
      <c r="B1934" s="124"/>
    </row>
    <row r="1935" spans="2:2" x14ac:dyDescent="0.2">
      <c r="B1935" s="124"/>
    </row>
    <row r="1936" spans="2:2" x14ac:dyDescent="0.2">
      <c r="B1936" s="124"/>
    </row>
    <row r="1937" spans="2:2" x14ac:dyDescent="0.2">
      <c r="B1937" s="124"/>
    </row>
    <row r="1938" spans="2:2" x14ac:dyDescent="0.2">
      <c r="B1938" s="124"/>
    </row>
    <row r="1939" spans="2:2" x14ac:dyDescent="0.2">
      <c r="B1939" s="124"/>
    </row>
    <row r="1940" spans="2:2" x14ac:dyDescent="0.2">
      <c r="B1940" s="124"/>
    </row>
    <row r="1941" spans="2:2" x14ac:dyDescent="0.2">
      <c r="B1941" s="124"/>
    </row>
    <row r="1942" spans="2:2" x14ac:dyDescent="0.2">
      <c r="B1942" s="124"/>
    </row>
    <row r="1943" spans="2:2" x14ac:dyDescent="0.2">
      <c r="B1943" s="124"/>
    </row>
    <row r="1944" spans="2:2" x14ac:dyDescent="0.2">
      <c r="B1944" s="124"/>
    </row>
    <row r="1945" spans="2:2" x14ac:dyDescent="0.2">
      <c r="B1945" s="124"/>
    </row>
    <row r="1946" spans="2:2" x14ac:dyDescent="0.2">
      <c r="B1946" s="124"/>
    </row>
    <row r="1947" spans="2:2" x14ac:dyDescent="0.2">
      <c r="B1947" s="124"/>
    </row>
    <row r="1948" spans="2:2" x14ac:dyDescent="0.2">
      <c r="B1948" s="124"/>
    </row>
    <row r="1949" spans="2:2" x14ac:dyDescent="0.2">
      <c r="B1949" s="124"/>
    </row>
    <row r="1950" spans="2:2" x14ac:dyDescent="0.2">
      <c r="B1950" s="124"/>
    </row>
    <row r="1951" spans="2:2" x14ac:dyDescent="0.2">
      <c r="B1951" s="124"/>
    </row>
    <row r="1952" spans="2:2" x14ac:dyDescent="0.2">
      <c r="B1952" s="124"/>
    </row>
    <row r="1953" spans="2:2" x14ac:dyDescent="0.2">
      <c r="B1953" s="124"/>
    </row>
    <row r="1954" spans="2:2" x14ac:dyDescent="0.2">
      <c r="B1954" s="124"/>
    </row>
    <row r="1955" spans="2:2" x14ac:dyDescent="0.2">
      <c r="B1955" s="124"/>
    </row>
    <row r="1956" spans="2:2" x14ac:dyDescent="0.2">
      <c r="B1956" s="124"/>
    </row>
    <row r="1957" spans="2:2" x14ac:dyDescent="0.2">
      <c r="B1957" s="124"/>
    </row>
    <row r="1958" spans="2:2" x14ac:dyDescent="0.2">
      <c r="B1958" s="124"/>
    </row>
    <row r="1959" spans="2:2" x14ac:dyDescent="0.2">
      <c r="B1959" s="124"/>
    </row>
    <row r="1960" spans="2:2" x14ac:dyDescent="0.2">
      <c r="B1960" s="124"/>
    </row>
    <row r="1961" spans="2:2" x14ac:dyDescent="0.2">
      <c r="B1961" s="124"/>
    </row>
    <row r="1962" spans="2:2" x14ac:dyDescent="0.2">
      <c r="B1962" s="124"/>
    </row>
    <row r="1963" spans="2:2" x14ac:dyDescent="0.2">
      <c r="B1963" s="124"/>
    </row>
    <row r="1964" spans="2:2" x14ac:dyDescent="0.2">
      <c r="B1964" s="124"/>
    </row>
    <row r="1965" spans="2:2" x14ac:dyDescent="0.2">
      <c r="B1965" s="124"/>
    </row>
    <row r="1966" spans="2:2" x14ac:dyDescent="0.2">
      <c r="B1966" s="124"/>
    </row>
    <row r="1967" spans="2:2" x14ac:dyDescent="0.2">
      <c r="B1967" s="124"/>
    </row>
    <row r="1968" spans="2:2" x14ac:dyDescent="0.2">
      <c r="B1968" s="124"/>
    </row>
    <row r="1969" spans="2:2" x14ac:dyDescent="0.2">
      <c r="B1969" s="124"/>
    </row>
    <row r="1970" spans="2:2" x14ac:dyDescent="0.2">
      <c r="B1970" s="124"/>
    </row>
    <row r="1971" spans="2:2" x14ac:dyDescent="0.2">
      <c r="B1971" s="124"/>
    </row>
    <row r="1972" spans="2:2" x14ac:dyDescent="0.2">
      <c r="B1972" s="124"/>
    </row>
    <row r="1973" spans="2:2" x14ac:dyDescent="0.2">
      <c r="B1973" s="124"/>
    </row>
    <row r="1974" spans="2:2" x14ac:dyDescent="0.2">
      <c r="B1974" s="124"/>
    </row>
    <row r="1975" spans="2:2" x14ac:dyDescent="0.2">
      <c r="B1975" s="124"/>
    </row>
    <row r="1976" spans="2:2" x14ac:dyDescent="0.2">
      <c r="B1976" s="124"/>
    </row>
    <row r="1977" spans="2:2" x14ac:dyDescent="0.2">
      <c r="B1977" s="124"/>
    </row>
    <row r="1978" spans="2:2" x14ac:dyDescent="0.2">
      <c r="B1978" s="124"/>
    </row>
    <row r="1979" spans="2:2" x14ac:dyDescent="0.2">
      <c r="B1979" s="124"/>
    </row>
    <row r="1980" spans="2:2" x14ac:dyDescent="0.2">
      <c r="B1980" s="124"/>
    </row>
    <row r="1981" spans="2:2" x14ac:dyDescent="0.2">
      <c r="B1981" s="124"/>
    </row>
    <row r="1982" spans="2:2" x14ac:dyDescent="0.2">
      <c r="B1982" s="124"/>
    </row>
    <row r="1983" spans="2:2" x14ac:dyDescent="0.2">
      <c r="B1983" s="124"/>
    </row>
    <row r="1984" spans="2:2" x14ac:dyDescent="0.2">
      <c r="B1984" s="124"/>
    </row>
    <row r="1985" spans="2:2" x14ac:dyDescent="0.2">
      <c r="B1985" s="124"/>
    </row>
    <row r="1986" spans="2:2" x14ac:dyDescent="0.2">
      <c r="B1986" s="124"/>
    </row>
    <row r="1987" spans="2:2" x14ac:dyDescent="0.2">
      <c r="B1987" s="124"/>
    </row>
    <row r="1988" spans="2:2" x14ac:dyDescent="0.2">
      <c r="B1988" s="124"/>
    </row>
    <row r="1989" spans="2:2" x14ac:dyDescent="0.2">
      <c r="B1989" s="124"/>
    </row>
    <row r="1990" spans="2:2" x14ac:dyDescent="0.2">
      <c r="B1990" s="124"/>
    </row>
    <row r="1991" spans="2:2" x14ac:dyDescent="0.2">
      <c r="B1991" s="124"/>
    </row>
    <row r="1992" spans="2:2" x14ac:dyDescent="0.2">
      <c r="B1992" s="124"/>
    </row>
    <row r="1993" spans="2:2" x14ac:dyDescent="0.2">
      <c r="B1993" s="124"/>
    </row>
    <row r="1994" spans="2:2" x14ac:dyDescent="0.2">
      <c r="B1994" s="124"/>
    </row>
    <row r="1995" spans="2:2" x14ac:dyDescent="0.2">
      <c r="B1995" s="124"/>
    </row>
    <row r="1996" spans="2:2" x14ac:dyDescent="0.2">
      <c r="B1996" s="124"/>
    </row>
    <row r="1997" spans="2:2" x14ac:dyDescent="0.2">
      <c r="B1997" s="124"/>
    </row>
    <row r="1998" spans="2:2" x14ac:dyDescent="0.2">
      <c r="B1998" s="124"/>
    </row>
    <row r="1999" spans="2:2" x14ac:dyDescent="0.2">
      <c r="B1999" s="124"/>
    </row>
    <row r="2000" spans="2:2" x14ac:dyDescent="0.2">
      <c r="B2000" s="124"/>
    </row>
    <row r="2001" spans="2:2" x14ac:dyDescent="0.2">
      <c r="B2001" s="124"/>
    </row>
    <row r="2002" spans="2:2" x14ac:dyDescent="0.2">
      <c r="B2002" s="124"/>
    </row>
    <row r="2003" spans="2:2" x14ac:dyDescent="0.2">
      <c r="B2003" s="124"/>
    </row>
    <row r="2004" spans="2:2" x14ac:dyDescent="0.2">
      <c r="B2004" s="124"/>
    </row>
    <row r="2005" spans="2:2" x14ac:dyDescent="0.2">
      <c r="B2005" s="124"/>
    </row>
    <row r="2006" spans="2:2" x14ac:dyDescent="0.2">
      <c r="B2006" s="124"/>
    </row>
    <row r="2007" spans="2:2" x14ac:dyDescent="0.2">
      <c r="B2007" s="124"/>
    </row>
    <row r="2008" spans="2:2" x14ac:dyDescent="0.2">
      <c r="B2008" s="12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1"/>
  <sheetViews>
    <sheetView workbookViewId="0">
      <selection activeCell="H15" sqref="H15"/>
    </sheetView>
  </sheetViews>
  <sheetFormatPr baseColWidth="10" defaultColWidth="8.83203125" defaultRowHeight="15" x14ac:dyDescent="0.2"/>
  <sheetData>
    <row r="1" spans="1:8" x14ac:dyDescent="0.2">
      <c r="A1">
        <f ca="1">RAND()</f>
        <v>0.73263418365033728</v>
      </c>
    </row>
    <row r="2" spans="1:8" x14ac:dyDescent="0.2">
      <c r="A2">
        <f t="shared" ref="A2:A10" ca="1" si="0">RAND()</f>
        <v>0.32393027138181929</v>
      </c>
    </row>
    <row r="3" spans="1:8" x14ac:dyDescent="0.2">
      <c r="A3">
        <f t="shared" ca="1" si="0"/>
        <v>0.76068761648515937</v>
      </c>
    </row>
    <row r="4" spans="1:8" x14ac:dyDescent="0.2">
      <c r="A4">
        <f t="shared" ca="1" si="0"/>
        <v>0.76189788826243721</v>
      </c>
      <c r="H4" s="43"/>
    </row>
    <row r="5" spans="1:8" x14ac:dyDescent="0.2">
      <c r="A5">
        <f t="shared" ca="1" si="0"/>
        <v>0.5127797212385844</v>
      </c>
    </row>
    <row r="6" spans="1:8" x14ac:dyDescent="0.2">
      <c r="A6">
        <f t="shared" ca="1" si="0"/>
        <v>0.49642654369287442</v>
      </c>
    </row>
    <row r="7" spans="1:8" x14ac:dyDescent="0.2">
      <c r="A7">
        <f t="shared" ca="1" si="0"/>
        <v>0.11537440797881893</v>
      </c>
    </row>
    <row r="8" spans="1:8" x14ac:dyDescent="0.2">
      <c r="A8">
        <f t="shared" ca="1" si="0"/>
        <v>0.48440181523203629</v>
      </c>
    </row>
    <row r="9" spans="1:8" x14ac:dyDescent="0.2">
      <c r="A9">
        <f t="shared" ca="1" si="0"/>
        <v>0.15654932290145995</v>
      </c>
    </row>
    <row r="10" spans="1:8" x14ac:dyDescent="0.2">
      <c r="A10">
        <f t="shared" ca="1" si="0"/>
        <v>0.9556647459486427</v>
      </c>
    </row>
    <row r="11" spans="1:8" x14ac:dyDescent="0.2">
      <c r="H11" s="43"/>
    </row>
  </sheetData>
  <pageMargins left="0.7" right="0.7" top="0.75" bottom="0.75" header="0.3" footer="0.3"/>
  <pageSetup orientation="portrait" horizontalDpi="4294967293" verticalDpi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24DE1-E192-7E48-9EB6-2E8A0A989894}">
  <sheetPr codeName="Sheet6"/>
  <dimension ref="A1:H15"/>
  <sheetViews>
    <sheetView workbookViewId="0">
      <selection activeCell="K28" sqref="K28"/>
    </sheetView>
  </sheetViews>
  <sheetFormatPr baseColWidth="10" defaultRowHeight="15" x14ac:dyDescent="0.2"/>
  <sheetData>
    <row r="1" spans="1:8" x14ac:dyDescent="0.2">
      <c r="A1" s="118">
        <v>1000000</v>
      </c>
      <c r="D1" s="21" t="s">
        <v>95</v>
      </c>
    </row>
    <row r="2" spans="1:8" x14ac:dyDescent="0.2">
      <c r="D2" s="21"/>
    </row>
    <row r="3" spans="1:8" x14ac:dyDescent="0.2">
      <c r="D3" s="21"/>
    </row>
    <row r="4" spans="1:8" x14ac:dyDescent="0.2">
      <c r="D4" s="21" t="s">
        <v>96</v>
      </c>
    </row>
    <row r="5" spans="1:8" x14ac:dyDescent="0.2">
      <c r="D5" s="21" t="s">
        <v>97</v>
      </c>
    </row>
    <row r="6" spans="1:8" x14ac:dyDescent="0.2">
      <c r="D6" s="118">
        <v>1000000</v>
      </c>
      <c r="H6" t="s">
        <v>98</v>
      </c>
    </row>
    <row r="7" spans="1:8" x14ac:dyDescent="0.2">
      <c r="D7" s="118">
        <v>1000000</v>
      </c>
    </row>
    <row r="8" spans="1:8" x14ac:dyDescent="0.2">
      <c r="D8" s="118">
        <v>1000000</v>
      </c>
      <c r="H8" t="s">
        <v>99</v>
      </c>
    </row>
    <row r="9" spans="1:8" x14ac:dyDescent="0.2">
      <c r="D9" s="118">
        <v>1000000</v>
      </c>
    </row>
    <row r="10" spans="1:8" x14ac:dyDescent="0.2">
      <c r="D10" s="118">
        <v>1000000</v>
      </c>
      <c r="H10" t="s">
        <v>100</v>
      </c>
    </row>
    <row r="11" spans="1:8" x14ac:dyDescent="0.2">
      <c r="D11" s="118">
        <v>1000000</v>
      </c>
    </row>
    <row r="12" spans="1:8" x14ac:dyDescent="0.2">
      <c r="D12" s="118">
        <v>1000000</v>
      </c>
      <c r="H12" t="s">
        <v>71</v>
      </c>
    </row>
    <row r="13" spans="1:8" x14ac:dyDescent="0.2">
      <c r="D13" s="118">
        <v>1000000</v>
      </c>
    </row>
    <row r="14" spans="1:8" x14ac:dyDescent="0.2">
      <c r="D14" s="118">
        <v>1000000</v>
      </c>
      <c r="H14" t="s">
        <v>7</v>
      </c>
    </row>
    <row r="15" spans="1:8" x14ac:dyDescent="0.2">
      <c r="D15" s="118">
        <v>1000000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R1020"/>
  <sheetViews>
    <sheetView workbookViewId="0">
      <selection activeCell="H15" sqref="H15"/>
    </sheetView>
  </sheetViews>
  <sheetFormatPr baseColWidth="10" defaultColWidth="8.83203125" defaultRowHeight="15" x14ac:dyDescent="0.2"/>
  <cols>
    <col min="1" max="1" width="12.83203125" customWidth="1"/>
    <col min="2" max="2" width="10.5" customWidth="1"/>
    <col min="3" max="3" width="9.83203125" customWidth="1"/>
    <col min="4" max="4" width="9.33203125" bestFit="1" customWidth="1"/>
    <col min="5" max="5" width="5.83203125" customWidth="1"/>
    <col min="6" max="6" width="11.6640625" customWidth="1"/>
    <col min="7" max="7" width="4.83203125" customWidth="1"/>
    <col min="8" max="8" width="11.5" bestFit="1" customWidth="1"/>
    <col min="10" max="10" width="11.83203125" bestFit="1" customWidth="1"/>
    <col min="11" max="11" width="16.1640625" customWidth="1"/>
  </cols>
  <sheetData>
    <row r="1" spans="1:18" ht="16" thickBot="1" x14ac:dyDescent="0.25">
      <c r="A1" s="6" t="s">
        <v>86</v>
      </c>
      <c r="B1" s="7"/>
      <c r="C1" s="8"/>
      <c r="D1" s="9"/>
      <c r="F1" s="21" t="s">
        <v>78</v>
      </c>
      <c r="G1" s="47"/>
      <c r="H1" s="12">
        <f>FV(C7,C5,0,-C4)</f>
        <v>174494.02268886444</v>
      </c>
    </row>
    <row r="2" spans="1:18" ht="16" thickBot="1" x14ac:dyDescent="0.25">
      <c r="G2" s="47"/>
      <c r="R2" s="125" t="s">
        <v>108</v>
      </c>
    </row>
    <row r="3" spans="1:18" ht="16" thickBot="1" x14ac:dyDescent="0.25">
      <c r="A3" s="18" t="s">
        <v>8</v>
      </c>
      <c r="B3" s="19"/>
      <c r="C3" s="19"/>
      <c r="D3" s="20"/>
      <c r="F3" s="27" t="s">
        <v>79</v>
      </c>
      <c r="G3" s="47"/>
      <c r="H3" s="12">
        <f>C4*EXP(C7*C5)</f>
        <v>200855.36923187668</v>
      </c>
      <c r="I3" s="43" t="s">
        <v>80</v>
      </c>
      <c r="R3" s="125" t="s">
        <v>109</v>
      </c>
    </row>
    <row r="4" spans="1:18" x14ac:dyDescent="0.2">
      <c r="A4" s="10" t="s">
        <v>9</v>
      </c>
      <c r="B4" s="11"/>
      <c r="C4" s="109">
        <v>10000</v>
      </c>
      <c r="D4" s="13"/>
      <c r="F4" s="27"/>
      <c r="G4" s="47"/>
      <c r="R4" s="125" t="s">
        <v>110</v>
      </c>
    </row>
    <row r="5" spans="1:18" x14ac:dyDescent="0.2">
      <c r="A5" s="10" t="s">
        <v>81</v>
      </c>
      <c r="B5" s="11"/>
      <c r="C5" s="110">
        <v>30</v>
      </c>
      <c r="D5" s="13"/>
      <c r="F5" s="27" t="s">
        <v>82</v>
      </c>
      <c r="G5" s="47"/>
      <c r="H5" s="12">
        <f>C4*EXP((C7-C8^2/2)*C5)</f>
        <v>110231.76380641601</v>
      </c>
      <c r="I5" s="43" t="s">
        <v>83</v>
      </c>
      <c r="J5" s="111"/>
    </row>
    <row r="6" spans="1:18" x14ac:dyDescent="0.2">
      <c r="A6" s="10"/>
      <c r="B6" s="11"/>
      <c r="C6" s="15"/>
      <c r="D6" s="13"/>
      <c r="F6" s="27"/>
      <c r="G6" s="47"/>
    </row>
    <row r="7" spans="1:18" x14ac:dyDescent="0.2">
      <c r="A7" s="10" t="s">
        <v>10</v>
      </c>
      <c r="B7" s="11"/>
      <c r="C7" s="14">
        <v>0.1</v>
      </c>
      <c r="D7" s="112"/>
      <c r="F7" s="27" t="s">
        <v>84</v>
      </c>
      <c r="G7" s="47"/>
      <c r="H7" s="12">
        <f>D11</f>
        <v>107843.47</v>
      </c>
    </row>
    <row r="8" spans="1:18" ht="16" thickBot="1" x14ac:dyDescent="0.25">
      <c r="A8" s="16" t="s">
        <v>26</v>
      </c>
      <c r="B8" s="7"/>
      <c r="C8" s="17">
        <v>0.2</v>
      </c>
      <c r="D8" s="113"/>
      <c r="G8" s="47"/>
    </row>
    <row r="9" spans="1:18" ht="16" thickBot="1" x14ac:dyDescent="0.25">
      <c r="F9" s="114"/>
      <c r="G9" s="47"/>
    </row>
    <row r="10" spans="1:18" ht="16" thickBot="1" x14ac:dyDescent="0.25">
      <c r="A10" s="115" t="s">
        <v>87</v>
      </c>
      <c r="B10" s="19"/>
      <c r="C10" s="19"/>
      <c r="D10" s="20"/>
      <c r="G10" s="47"/>
      <c r="H10" s="117"/>
    </row>
    <row r="11" spans="1:18" ht="16" thickBot="1" x14ac:dyDescent="0.25">
      <c r="A11" s="6" t="s">
        <v>11</v>
      </c>
      <c r="B11" s="7"/>
      <c r="C11" s="8"/>
      <c r="D11" s="9">
        <f>MEDIAN(K:K)</f>
        <v>107843.47</v>
      </c>
      <c r="G11" s="47"/>
    </row>
    <row r="12" spans="1:18" x14ac:dyDescent="0.2">
      <c r="A12" s="21"/>
      <c r="G12" s="47"/>
    </row>
    <row r="13" spans="1:18" x14ac:dyDescent="0.2">
      <c r="A13" s="21"/>
      <c r="B13" s="21"/>
      <c r="C13" t="s">
        <v>12</v>
      </c>
      <c r="D13" s="21"/>
      <c r="G13" s="47"/>
    </row>
    <row r="14" spans="1:18" x14ac:dyDescent="0.2">
      <c r="B14" s="21"/>
      <c r="C14" t="s">
        <v>15</v>
      </c>
      <c r="D14" s="21"/>
      <c r="G14" s="47"/>
    </row>
    <row r="15" spans="1:18" x14ac:dyDescent="0.2">
      <c r="C15" t="s">
        <v>13</v>
      </c>
      <c r="D15" t="s">
        <v>12</v>
      </c>
      <c r="G15" s="47"/>
    </row>
    <row r="16" spans="1:18" x14ac:dyDescent="0.2">
      <c r="B16" s="22" t="s">
        <v>14</v>
      </c>
      <c r="C16" s="22" t="s">
        <v>16</v>
      </c>
      <c r="D16" s="22" t="s">
        <v>17</v>
      </c>
      <c r="G16" s="47"/>
    </row>
    <row r="17" spans="1:11" x14ac:dyDescent="0.2">
      <c r="A17" t="s">
        <v>85</v>
      </c>
      <c r="B17" s="24">
        <f>$C$4</f>
        <v>10000</v>
      </c>
      <c r="C17" s="23"/>
      <c r="D17" s="3"/>
      <c r="G17" s="47"/>
    </row>
    <row r="18" spans="1:11" x14ac:dyDescent="0.2">
      <c r="A18" s="3">
        <v>1</v>
      </c>
      <c r="B18" s="24">
        <f ca="1">(B17*(1+D18))</f>
        <v>12242.022108547484</v>
      </c>
      <c r="C18" s="25">
        <f ca="1">NORMSINV(RAND())</f>
        <v>0.62101105427374215</v>
      </c>
      <c r="D18" s="26">
        <f ca="1">$C$7+(C18*$C$8)</f>
        <v>0.22420221085474845</v>
      </c>
      <c r="G18" s="47"/>
      <c r="K18" s="116">
        <v>747998.83</v>
      </c>
    </row>
    <row r="19" spans="1:11" x14ac:dyDescent="0.2">
      <c r="A19" s="3">
        <v>2</v>
      </c>
      <c r="B19" s="24">
        <f ca="1">(B18*(1+D19))</f>
        <v>12431.763907274028</v>
      </c>
      <c r="C19" s="25">
        <f ca="1">NORMSINV(RAND())</f>
        <v>-0.42250389803083832</v>
      </c>
      <c r="D19" s="26">
        <f ca="1">$C$7+(C19*$C$8)</f>
        <v>1.5499220393832336E-2</v>
      </c>
      <c r="F19" s="116"/>
      <c r="G19" s="47"/>
      <c r="H19" t="s">
        <v>88</v>
      </c>
      <c r="K19" s="116">
        <v>48779.25</v>
      </c>
    </row>
    <row r="20" spans="1:11" x14ac:dyDescent="0.2">
      <c r="A20" s="3">
        <v>3</v>
      </c>
      <c r="B20" s="24">
        <f t="shared" ref="B20:B47" ca="1" si="0">(B19*(1+D20))</f>
        <v>10079.226651852572</v>
      </c>
      <c r="C20" s="25">
        <f ca="1">NORMSINV(RAND())</f>
        <v>-1.4461799922233671</v>
      </c>
      <c r="D20" s="26">
        <f t="shared" ref="D20:D47" ca="1" si="1">$C$7+(C20*$C$8)</f>
        <v>-0.18923599844467345</v>
      </c>
      <c r="F20" s="116"/>
      <c r="G20" s="47"/>
      <c r="K20" s="116">
        <v>194352.44</v>
      </c>
    </row>
    <row r="21" spans="1:11" x14ac:dyDescent="0.2">
      <c r="A21" s="3">
        <v>4</v>
      </c>
      <c r="B21" s="24">
        <f t="shared" ca="1" si="0"/>
        <v>8152.6788985824687</v>
      </c>
      <c r="C21" s="25">
        <f t="shared" ref="C21:C47" ca="1" si="2">NORMSINV(RAND())</f>
        <v>-1.4557021683384817</v>
      </c>
      <c r="D21" s="26">
        <f t="shared" ca="1" si="1"/>
        <v>-0.19114043366769631</v>
      </c>
      <c r="F21" s="116"/>
      <c r="G21" s="47"/>
      <c r="H21" t="s">
        <v>94</v>
      </c>
      <c r="K21" s="116">
        <v>107834.75</v>
      </c>
    </row>
    <row r="22" spans="1:11" x14ac:dyDescent="0.2">
      <c r="A22" s="3">
        <v>5</v>
      </c>
      <c r="B22" s="24">
        <f t="shared" ca="1" si="0"/>
        <v>9145.5162548088429</v>
      </c>
      <c r="C22" s="25">
        <f t="shared" ca="1" si="2"/>
        <v>0.10890252675044144</v>
      </c>
      <c r="D22" s="26">
        <f t="shared" ca="1" si="1"/>
        <v>0.1217805053500883</v>
      </c>
      <c r="F22" s="116"/>
      <c r="G22" s="47"/>
      <c r="H22" t="s">
        <v>89</v>
      </c>
      <c r="K22" s="116">
        <v>622129.43000000005</v>
      </c>
    </row>
    <row r="23" spans="1:11" x14ac:dyDescent="0.2">
      <c r="A23" s="3">
        <v>6</v>
      </c>
      <c r="B23" s="24">
        <f t="shared" ca="1" si="0"/>
        <v>8266.7193435527715</v>
      </c>
      <c r="C23" s="25">
        <f t="shared" ca="1" si="2"/>
        <v>-0.98045232591106479</v>
      </c>
      <c r="D23" s="26">
        <f t="shared" ca="1" si="1"/>
        <v>-9.6090465182212953E-2</v>
      </c>
      <c r="F23" s="116"/>
      <c r="G23" s="47"/>
      <c r="H23" t="s">
        <v>111</v>
      </c>
      <c r="K23" s="116">
        <v>34523</v>
      </c>
    </row>
    <row r="24" spans="1:11" x14ac:dyDescent="0.2">
      <c r="A24" s="3">
        <v>7</v>
      </c>
      <c r="B24" s="24">
        <f t="shared" ca="1" si="0"/>
        <v>8479.6314182226542</v>
      </c>
      <c r="C24" s="25">
        <f t="shared" ca="1" si="2"/>
        <v>-0.37122335607296625</v>
      </c>
      <c r="D24" s="26">
        <f t="shared" ca="1" si="1"/>
        <v>2.5755328785406748E-2</v>
      </c>
      <c r="F24" s="116"/>
      <c r="G24" s="47"/>
      <c r="H24" t="s">
        <v>90</v>
      </c>
      <c r="K24" s="116">
        <v>7646.66</v>
      </c>
    </row>
    <row r="25" spans="1:11" x14ac:dyDescent="0.2">
      <c r="A25" s="3">
        <v>8</v>
      </c>
      <c r="B25" s="24">
        <f t="shared" ca="1" si="0"/>
        <v>11772.208394732066</v>
      </c>
      <c r="C25" s="25">
        <f t="shared" ca="1" si="2"/>
        <v>1.4414623195966352</v>
      </c>
      <c r="D25" s="26">
        <f t="shared" ca="1" si="1"/>
        <v>0.38829246391932704</v>
      </c>
      <c r="F25" s="116"/>
      <c r="G25" s="47"/>
      <c r="H25" t="s">
        <v>91</v>
      </c>
      <c r="K25" s="116">
        <v>66307.47</v>
      </c>
    </row>
    <row r="26" spans="1:11" x14ac:dyDescent="0.2">
      <c r="A26" s="3">
        <v>9</v>
      </c>
      <c r="B26" s="24">
        <f t="shared" ca="1" si="0"/>
        <v>10705.87473981394</v>
      </c>
      <c r="C26" s="25">
        <f t="shared" ca="1" si="2"/>
        <v>-0.95290298097139492</v>
      </c>
      <c r="D26" s="26">
        <f t="shared" ca="1" si="1"/>
        <v>-9.0580596194278995E-2</v>
      </c>
      <c r="F26" s="116"/>
      <c r="G26" s="47"/>
      <c r="H26" t="s">
        <v>90</v>
      </c>
      <c r="K26" s="116">
        <v>138886.06</v>
      </c>
    </row>
    <row r="27" spans="1:11" x14ac:dyDescent="0.2">
      <c r="A27" s="3">
        <v>10</v>
      </c>
      <c r="B27" s="24">
        <f t="shared" ca="1" si="0"/>
        <v>12311.14474381135</v>
      </c>
      <c r="C27" s="25">
        <f t="shared" ca="1" si="2"/>
        <v>0.24971454599015264</v>
      </c>
      <c r="D27" s="26">
        <f t="shared" ca="1" si="1"/>
        <v>0.14994290919803055</v>
      </c>
      <c r="F27" s="116"/>
      <c r="G27" s="47"/>
      <c r="H27" t="s">
        <v>92</v>
      </c>
      <c r="K27" s="116">
        <v>634561.06999999995</v>
      </c>
    </row>
    <row r="28" spans="1:11" x14ac:dyDescent="0.2">
      <c r="A28" s="3">
        <v>11</v>
      </c>
      <c r="B28" s="24">
        <f t="shared" ca="1" si="0"/>
        <v>11032.688513371397</v>
      </c>
      <c r="C28" s="25">
        <f t="shared" ca="1" si="2"/>
        <v>-1.0192271949700769</v>
      </c>
      <c r="D28" s="26">
        <f t="shared" ca="1" si="1"/>
        <v>-0.10384543899401538</v>
      </c>
      <c r="F28" s="116"/>
      <c r="G28" s="47"/>
      <c r="H28" t="s">
        <v>93</v>
      </c>
      <c r="K28" s="116">
        <v>198531.34</v>
      </c>
    </row>
    <row r="29" spans="1:11" x14ac:dyDescent="0.2">
      <c r="A29" s="3">
        <v>12</v>
      </c>
      <c r="B29" s="24">
        <f t="shared" ca="1" si="0"/>
        <v>15214.159303058093</v>
      </c>
      <c r="C29" s="25">
        <f t="shared" ca="1" si="2"/>
        <v>1.3950370911944256</v>
      </c>
      <c r="D29" s="26">
        <f t="shared" ca="1" si="1"/>
        <v>0.37900741823888517</v>
      </c>
      <c r="F29" s="116"/>
      <c r="G29" s="47"/>
      <c r="H29" t="s">
        <v>7</v>
      </c>
      <c r="K29" s="116">
        <v>216569.46</v>
      </c>
    </row>
    <row r="30" spans="1:11" x14ac:dyDescent="0.2">
      <c r="A30" s="3">
        <v>13</v>
      </c>
      <c r="B30" s="24">
        <f t="shared" ca="1" si="0"/>
        <v>19982.016158931492</v>
      </c>
      <c r="C30" s="25">
        <f t="shared" ca="1" si="2"/>
        <v>1.0669143331879805</v>
      </c>
      <c r="D30" s="26">
        <f t="shared" ca="1" si="1"/>
        <v>0.31338286663759607</v>
      </c>
      <c r="F30" s="116"/>
      <c r="G30" s="47"/>
      <c r="K30" s="116">
        <v>255253.59</v>
      </c>
    </row>
    <row r="31" spans="1:11" x14ac:dyDescent="0.2">
      <c r="A31" s="3">
        <v>14</v>
      </c>
      <c r="B31" s="24">
        <f t="shared" ca="1" si="0"/>
        <v>26610.802468596012</v>
      </c>
      <c r="C31" s="25">
        <f t="shared" ca="1" si="2"/>
        <v>1.1586880565356785</v>
      </c>
      <c r="D31" s="26">
        <f t="shared" ca="1" si="1"/>
        <v>0.33173761130713575</v>
      </c>
      <c r="F31" s="116"/>
      <c r="G31" s="47"/>
      <c r="K31" s="116">
        <v>423754.2</v>
      </c>
    </row>
    <row r="32" spans="1:11" x14ac:dyDescent="0.2">
      <c r="A32" s="3">
        <v>15</v>
      </c>
      <c r="B32" s="24">
        <f t="shared" ca="1" si="0"/>
        <v>23105.202965970602</v>
      </c>
      <c r="C32" s="25">
        <f t="shared" ca="1" si="2"/>
        <v>-1.158679779905631</v>
      </c>
      <c r="D32" s="26">
        <f t="shared" ca="1" si="1"/>
        <v>-0.1317359559811262</v>
      </c>
      <c r="F32" s="116"/>
      <c r="G32" s="47"/>
      <c r="K32" s="116">
        <v>47777.42</v>
      </c>
    </row>
    <row r="33" spans="1:11" x14ac:dyDescent="0.2">
      <c r="A33" s="3">
        <v>16</v>
      </c>
      <c r="B33" s="24">
        <f t="shared" ca="1" si="0"/>
        <v>29016.299117187642</v>
      </c>
      <c r="C33" s="25">
        <f t="shared" ca="1" si="2"/>
        <v>0.77916992547585773</v>
      </c>
      <c r="D33" s="26">
        <f t="shared" ca="1" si="1"/>
        <v>0.25583398509517152</v>
      </c>
      <c r="F33" s="116"/>
      <c r="G33" s="47"/>
      <c r="K33" s="116">
        <v>299930.32</v>
      </c>
    </row>
    <row r="34" spans="1:11" x14ac:dyDescent="0.2">
      <c r="A34" s="3">
        <v>17</v>
      </c>
      <c r="B34" s="24">
        <f t="shared" ca="1" si="0"/>
        <v>31858.309627746261</v>
      </c>
      <c r="C34" s="25">
        <f t="shared" ca="1" si="2"/>
        <v>-1.0273433031442007E-2</v>
      </c>
      <c r="D34" s="26">
        <f t="shared" ca="1" si="1"/>
        <v>9.7945313393711597E-2</v>
      </c>
      <c r="F34" s="116"/>
      <c r="G34" s="47"/>
      <c r="K34" s="116">
        <v>523522.83</v>
      </c>
    </row>
    <row r="35" spans="1:11" x14ac:dyDescent="0.2">
      <c r="A35" s="3">
        <v>18</v>
      </c>
      <c r="B35" s="24">
        <f t="shared" ca="1" si="0"/>
        <v>32252.541228609301</v>
      </c>
      <c r="C35" s="25">
        <f t="shared" ca="1" si="2"/>
        <v>-0.4381273511574364</v>
      </c>
      <c r="D35" s="26">
        <f t="shared" ca="1" si="1"/>
        <v>1.2374529768512721E-2</v>
      </c>
      <c r="F35" s="116"/>
      <c r="G35" s="47"/>
      <c r="K35" s="116">
        <v>572689.43000000005</v>
      </c>
    </row>
    <row r="36" spans="1:11" x14ac:dyDescent="0.2">
      <c r="A36" s="3">
        <v>19</v>
      </c>
      <c r="B36" s="24">
        <f t="shared" ca="1" si="0"/>
        <v>28613.15030628951</v>
      </c>
      <c r="C36" s="25">
        <f t="shared" ca="1" si="2"/>
        <v>-1.0642021967390753</v>
      </c>
      <c r="D36" s="26">
        <f t="shared" ca="1" si="1"/>
        <v>-0.11284043934781507</v>
      </c>
      <c r="F36" s="116"/>
      <c r="G36" s="47"/>
      <c r="K36" s="116">
        <v>111948.98</v>
      </c>
    </row>
    <row r="37" spans="1:11" x14ac:dyDescent="0.2">
      <c r="A37" s="3">
        <v>20</v>
      </c>
      <c r="B37" s="24">
        <f t="shared" ca="1" si="0"/>
        <v>32521.762279654748</v>
      </c>
      <c r="C37" s="25">
        <f t="shared" ca="1" si="2"/>
        <v>0.18300972306885008</v>
      </c>
      <c r="D37" s="26">
        <f t="shared" ca="1" si="1"/>
        <v>0.13660194461377001</v>
      </c>
      <c r="F37" s="116"/>
      <c r="G37" s="47"/>
      <c r="K37" s="116">
        <v>1121244.46</v>
      </c>
    </row>
    <row r="38" spans="1:11" x14ac:dyDescent="0.2">
      <c r="A38" s="3">
        <v>21</v>
      </c>
      <c r="B38" s="24">
        <f t="shared" ca="1" si="0"/>
        <v>39347.86330675285</v>
      </c>
      <c r="C38" s="25">
        <f t="shared" ca="1" si="2"/>
        <v>0.54946665688046548</v>
      </c>
      <c r="D38" s="26">
        <f t="shared" ca="1" si="1"/>
        <v>0.20989333137609312</v>
      </c>
      <c r="F38" s="116"/>
      <c r="G38" s="47"/>
      <c r="K38" s="116">
        <v>269953.48</v>
      </c>
    </row>
    <row r="39" spans="1:11" x14ac:dyDescent="0.2">
      <c r="A39" s="3">
        <v>22</v>
      </c>
      <c r="B39" s="24">
        <f t="shared" ca="1" si="0"/>
        <v>31873.44908354136</v>
      </c>
      <c r="C39" s="25">
        <f t="shared" ca="1" si="2"/>
        <v>-1.4497865443088418</v>
      </c>
      <c r="D39" s="26">
        <f t="shared" ca="1" si="1"/>
        <v>-0.18995730886176834</v>
      </c>
      <c r="F39" s="116"/>
      <c r="G39" s="47"/>
      <c r="K39" s="116">
        <v>52647.21</v>
      </c>
    </row>
    <row r="40" spans="1:11" x14ac:dyDescent="0.2">
      <c r="A40" s="3">
        <v>23</v>
      </c>
      <c r="B40" s="24">
        <f t="shared" ca="1" si="0"/>
        <v>27497.161736187169</v>
      </c>
      <c r="C40" s="25">
        <f t="shared" ca="1" si="2"/>
        <v>-1.1865098496061408</v>
      </c>
      <c r="D40" s="26">
        <f t="shared" ca="1" si="1"/>
        <v>-0.13730196992122817</v>
      </c>
      <c r="F40" s="116"/>
      <c r="G40" s="47"/>
      <c r="K40" s="116">
        <v>52862.97</v>
      </c>
    </row>
    <row r="41" spans="1:11" x14ac:dyDescent="0.2">
      <c r="A41" s="3">
        <v>24</v>
      </c>
      <c r="B41" s="24">
        <f t="shared" ca="1" si="0"/>
        <v>24434.155774842206</v>
      </c>
      <c r="C41" s="25">
        <f t="shared" ca="1" si="2"/>
        <v>-1.056967659195521</v>
      </c>
      <c r="D41" s="26">
        <f t="shared" ca="1" si="1"/>
        <v>-0.11139353183910422</v>
      </c>
      <c r="F41" s="116"/>
      <c r="G41" s="47"/>
      <c r="K41" s="116">
        <v>49122.8</v>
      </c>
    </row>
    <row r="42" spans="1:11" x14ac:dyDescent="0.2">
      <c r="A42" s="3">
        <v>25</v>
      </c>
      <c r="B42" s="24">
        <f t="shared" ca="1" si="0"/>
        <v>29937.224577027082</v>
      </c>
      <c r="C42" s="25">
        <f t="shared" ca="1" si="2"/>
        <v>0.62610168587263448</v>
      </c>
      <c r="D42" s="26">
        <f t="shared" ca="1" si="1"/>
        <v>0.22522033717452691</v>
      </c>
      <c r="F42" s="116"/>
      <c r="G42" s="47"/>
      <c r="K42" s="116">
        <v>38341.449999999997</v>
      </c>
    </row>
    <row r="43" spans="1:11" x14ac:dyDescent="0.2">
      <c r="A43" s="3">
        <v>26</v>
      </c>
      <c r="B43" s="24">
        <f t="shared" ca="1" si="0"/>
        <v>32196.975795664013</v>
      </c>
      <c r="C43" s="25">
        <f t="shared" ca="1" si="2"/>
        <v>-0.12258505079141557</v>
      </c>
      <c r="D43" s="26">
        <f t="shared" ca="1" si="1"/>
        <v>7.5482989841716891E-2</v>
      </c>
      <c r="F43" s="116"/>
      <c r="G43" s="47"/>
      <c r="K43" s="116">
        <v>488250.03</v>
      </c>
    </row>
    <row r="44" spans="1:11" x14ac:dyDescent="0.2">
      <c r="A44" s="3">
        <v>27</v>
      </c>
      <c r="B44" s="24">
        <f t="shared" ca="1" si="0"/>
        <v>35951.696984486203</v>
      </c>
      <c r="C44" s="25">
        <f t="shared" ca="1" si="2"/>
        <v>8.3086003581715709E-2</v>
      </c>
      <c r="D44" s="26">
        <f t="shared" ca="1" si="1"/>
        <v>0.11661720071634316</v>
      </c>
      <c r="F44" s="116"/>
      <c r="G44" s="47"/>
      <c r="K44" s="116">
        <v>187708.44</v>
      </c>
    </row>
    <row r="45" spans="1:11" x14ac:dyDescent="0.2">
      <c r="A45" s="3">
        <v>28</v>
      </c>
      <c r="B45" s="24">
        <f t="shared" ca="1" si="0"/>
        <v>22121.011567111989</v>
      </c>
      <c r="C45" s="25">
        <f t="shared" ca="1" si="2"/>
        <v>-2.4235093997569019</v>
      </c>
      <c r="D45" s="26">
        <f t="shared" ca="1" si="1"/>
        <v>-0.38470187995138039</v>
      </c>
      <c r="F45" s="116"/>
      <c r="G45" s="47"/>
      <c r="K45" s="116">
        <v>30682.04</v>
      </c>
    </row>
    <row r="46" spans="1:11" x14ac:dyDescent="0.2">
      <c r="A46" s="3">
        <v>29</v>
      </c>
      <c r="B46" s="24">
        <f t="shared" ca="1" si="0"/>
        <v>24910.876298045019</v>
      </c>
      <c r="C46" s="25">
        <f t="shared" ca="1" si="2"/>
        <v>0.13059158087526351</v>
      </c>
      <c r="D46" s="26">
        <f t="shared" ca="1" si="1"/>
        <v>0.1261183161750527</v>
      </c>
      <c r="F46" s="116"/>
      <c r="G46" s="47"/>
      <c r="K46" s="116">
        <v>109827.68</v>
      </c>
    </row>
    <row r="47" spans="1:11" x14ac:dyDescent="0.2">
      <c r="A47" s="3">
        <v>30</v>
      </c>
      <c r="B47" s="24">
        <f t="shared" ca="1" si="0"/>
        <v>24862.3296986391</v>
      </c>
      <c r="C47" s="25">
        <f t="shared" ca="1" si="2"/>
        <v>-0.50974405693824032</v>
      </c>
      <c r="D47" s="26">
        <f t="shared" ca="1" si="1"/>
        <v>-1.9488113876480612E-3</v>
      </c>
      <c r="F47" s="47"/>
      <c r="G47" s="47"/>
      <c r="K47" s="116">
        <v>30499.33</v>
      </c>
    </row>
    <row r="48" spans="1:11" x14ac:dyDescent="0.2">
      <c r="F48" s="116"/>
      <c r="G48" s="47"/>
      <c r="K48" s="116">
        <v>289967.96999999997</v>
      </c>
    </row>
    <row r="49" spans="6:11" x14ac:dyDescent="0.2">
      <c r="F49" s="116"/>
      <c r="K49" s="116">
        <v>62030.080000000002</v>
      </c>
    </row>
    <row r="50" spans="6:11" x14ac:dyDescent="0.2">
      <c r="F50" s="116"/>
      <c r="K50" s="116">
        <v>117291.25</v>
      </c>
    </row>
    <row r="51" spans="6:11" x14ac:dyDescent="0.2">
      <c r="F51" s="116"/>
      <c r="K51" s="116">
        <v>199523.02</v>
      </c>
    </row>
    <row r="52" spans="6:11" x14ac:dyDescent="0.2">
      <c r="F52" s="116"/>
      <c r="K52" s="116">
        <v>56549.02</v>
      </c>
    </row>
    <row r="53" spans="6:11" x14ac:dyDescent="0.2">
      <c r="F53" s="116"/>
      <c r="K53" s="116">
        <v>229126.58</v>
      </c>
    </row>
    <row r="54" spans="6:11" x14ac:dyDescent="0.2">
      <c r="F54" s="116"/>
      <c r="K54" s="116">
        <v>529159.27</v>
      </c>
    </row>
    <row r="55" spans="6:11" x14ac:dyDescent="0.2">
      <c r="F55" s="116"/>
      <c r="K55" s="116">
        <v>29439.89</v>
      </c>
    </row>
    <row r="56" spans="6:11" x14ac:dyDescent="0.2">
      <c r="F56" s="116"/>
      <c r="K56" s="116">
        <v>311554.19</v>
      </c>
    </row>
    <row r="57" spans="6:11" x14ac:dyDescent="0.2">
      <c r="F57" s="116"/>
      <c r="K57" s="116">
        <v>69783.320000000007</v>
      </c>
    </row>
    <row r="58" spans="6:11" x14ac:dyDescent="0.2">
      <c r="F58" s="116"/>
      <c r="K58" s="116">
        <v>100533.83</v>
      </c>
    </row>
    <row r="59" spans="6:11" x14ac:dyDescent="0.2">
      <c r="F59" s="116"/>
      <c r="K59" s="116">
        <v>27476.28</v>
      </c>
    </row>
    <row r="60" spans="6:11" x14ac:dyDescent="0.2">
      <c r="F60" s="116"/>
      <c r="K60" s="116">
        <v>164331.51999999999</v>
      </c>
    </row>
    <row r="61" spans="6:11" x14ac:dyDescent="0.2">
      <c r="F61" s="116"/>
      <c r="K61" s="116">
        <v>784141.63</v>
      </c>
    </row>
    <row r="62" spans="6:11" x14ac:dyDescent="0.2">
      <c r="F62" s="116"/>
      <c r="K62" s="116">
        <v>77749.429999999993</v>
      </c>
    </row>
    <row r="63" spans="6:11" x14ac:dyDescent="0.2">
      <c r="F63" s="116"/>
      <c r="K63" s="116">
        <v>45226.65</v>
      </c>
    </row>
    <row r="64" spans="6:11" x14ac:dyDescent="0.2">
      <c r="F64" s="116"/>
      <c r="K64" s="116">
        <v>32551.66</v>
      </c>
    </row>
    <row r="65" spans="6:11" x14ac:dyDescent="0.2">
      <c r="F65" s="116"/>
      <c r="K65" s="116">
        <v>144747.56</v>
      </c>
    </row>
    <row r="66" spans="6:11" x14ac:dyDescent="0.2">
      <c r="F66" s="116"/>
      <c r="K66" s="116">
        <v>63706.16</v>
      </c>
    </row>
    <row r="67" spans="6:11" x14ac:dyDescent="0.2">
      <c r="F67" s="116"/>
      <c r="K67" s="116">
        <v>138334.41</v>
      </c>
    </row>
    <row r="68" spans="6:11" x14ac:dyDescent="0.2">
      <c r="F68" s="116"/>
      <c r="K68" s="116">
        <v>30142.99</v>
      </c>
    </row>
    <row r="69" spans="6:11" x14ac:dyDescent="0.2">
      <c r="F69" s="116"/>
      <c r="K69" s="116">
        <v>84399.42</v>
      </c>
    </row>
    <row r="70" spans="6:11" x14ac:dyDescent="0.2">
      <c r="F70" s="116"/>
      <c r="K70" s="116">
        <v>151305.63</v>
      </c>
    </row>
    <row r="71" spans="6:11" x14ac:dyDescent="0.2">
      <c r="F71" s="116"/>
      <c r="K71" s="116">
        <v>49622.57</v>
      </c>
    </row>
    <row r="72" spans="6:11" x14ac:dyDescent="0.2">
      <c r="F72" s="116"/>
      <c r="K72" s="116">
        <v>115549.41</v>
      </c>
    </row>
    <row r="73" spans="6:11" x14ac:dyDescent="0.2">
      <c r="F73" s="116"/>
      <c r="K73" s="116">
        <v>182441.25</v>
      </c>
    </row>
    <row r="74" spans="6:11" x14ac:dyDescent="0.2">
      <c r="F74" s="116"/>
      <c r="K74" s="116">
        <v>19953.75</v>
      </c>
    </row>
    <row r="75" spans="6:11" x14ac:dyDescent="0.2">
      <c r="F75" s="116"/>
      <c r="K75" s="116">
        <v>76086.8</v>
      </c>
    </row>
    <row r="76" spans="6:11" x14ac:dyDescent="0.2">
      <c r="F76" s="116"/>
      <c r="K76" s="116">
        <v>222238.84</v>
      </c>
    </row>
    <row r="77" spans="6:11" x14ac:dyDescent="0.2">
      <c r="F77" s="116"/>
      <c r="K77" s="116">
        <v>30795.33</v>
      </c>
    </row>
    <row r="78" spans="6:11" x14ac:dyDescent="0.2">
      <c r="F78" s="116"/>
      <c r="K78" s="116">
        <v>37045.07</v>
      </c>
    </row>
    <row r="79" spans="6:11" x14ac:dyDescent="0.2">
      <c r="F79" s="116"/>
      <c r="K79" s="116">
        <v>212286.23</v>
      </c>
    </row>
    <row r="80" spans="6:11" x14ac:dyDescent="0.2">
      <c r="F80" s="116"/>
      <c r="K80" s="116">
        <v>51057.919999999998</v>
      </c>
    </row>
    <row r="81" spans="6:11" x14ac:dyDescent="0.2">
      <c r="F81" s="116"/>
      <c r="K81" s="116">
        <v>1129878.8799999999</v>
      </c>
    </row>
    <row r="82" spans="6:11" x14ac:dyDescent="0.2">
      <c r="F82" s="116"/>
      <c r="K82" s="116">
        <v>68662.820000000007</v>
      </c>
    </row>
    <row r="83" spans="6:11" x14ac:dyDescent="0.2">
      <c r="F83" s="116"/>
      <c r="K83" s="116">
        <v>106698.58</v>
      </c>
    </row>
    <row r="84" spans="6:11" x14ac:dyDescent="0.2">
      <c r="F84" s="116"/>
      <c r="K84" s="116">
        <v>82184.06</v>
      </c>
    </row>
    <row r="85" spans="6:11" x14ac:dyDescent="0.2">
      <c r="F85" s="116"/>
      <c r="K85" s="116">
        <v>673776.36</v>
      </c>
    </row>
    <row r="86" spans="6:11" x14ac:dyDescent="0.2">
      <c r="F86" s="116"/>
      <c r="K86" s="116">
        <v>108703.08</v>
      </c>
    </row>
    <row r="87" spans="6:11" x14ac:dyDescent="0.2">
      <c r="F87" s="116"/>
      <c r="K87" s="116">
        <v>269266.49</v>
      </c>
    </row>
    <row r="88" spans="6:11" x14ac:dyDescent="0.2">
      <c r="F88" s="116"/>
      <c r="K88" s="116">
        <v>71819.48</v>
      </c>
    </row>
    <row r="89" spans="6:11" x14ac:dyDescent="0.2">
      <c r="F89" s="116"/>
      <c r="K89" s="116">
        <v>407954.73</v>
      </c>
    </row>
    <row r="90" spans="6:11" x14ac:dyDescent="0.2">
      <c r="F90" s="116"/>
      <c r="K90" s="116">
        <v>98734.38</v>
      </c>
    </row>
    <row r="91" spans="6:11" x14ac:dyDescent="0.2">
      <c r="F91" s="116"/>
      <c r="K91" s="116">
        <v>49591.93</v>
      </c>
    </row>
    <row r="92" spans="6:11" x14ac:dyDescent="0.2">
      <c r="F92" s="116"/>
      <c r="K92" s="116">
        <v>97563.7</v>
      </c>
    </row>
    <row r="93" spans="6:11" x14ac:dyDescent="0.2">
      <c r="F93" s="116"/>
      <c r="K93" s="116">
        <v>78084.81</v>
      </c>
    </row>
    <row r="94" spans="6:11" x14ac:dyDescent="0.2">
      <c r="F94" s="116"/>
      <c r="K94" s="116">
        <v>108805.26</v>
      </c>
    </row>
    <row r="95" spans="6:11" x14ac:dyDescent="0.2">
      <c r="F95" s="116"/>
      <c r="K95" s="116">
        <v>276207.2</v>
      </c>
    </row>
    <row r="96" spans="6:11" x14ac:dyDescent="0.2">
      <c r="F96" s="116"/>
      <c r="K96" s="116">
        <v>301291.40999999997</v>
      </c>
    </row>
    <row r="97" spans="6:11" x14ac:dyDescent="0.2">
      <c r="F97" s="116"/>
      <c r="K97" s="116">
        <v>212017.56</v>
      </c>
    </row>
    <row r="98" spans="6:11" x14ac:dyDescent="0.2">
      <c r="F98" s="116"/>
      <c r="K98" s="116">
        <v>15755.91</v>
      </c>
    </row>
    <row r="99" spans="6:11" x14ac:dyDescent="0.2">
      <c r="F99" s="116"/>
      <c r="K99" s="116">
        <v>300789.59999999998</v>
      </c>
    </row>
    <row r="100" spans="6:11" x14ac:dyDescent="0.2">
      <c r="F100" s="116"/>
      <c r="K100" s="116">
        <v>669832.04</v>
      </c>
    </row>
    <row r="101" spans="6:11" x14ac:dyDescent="0.2">
      <c r="F101" s="116"/>
      <c r="K101" s="116">
        <v>160332.76999999999</v>
      </c>
    </row>
    <row r="102" spans="6:11" x14ac:dyDescent="0.2">
      <c r="F102" s="116"/>
      <c r="K102" s="116">
        <v>82308.639999999999</v>
      </c>
    </row>
    <row r="103" spans="6:11" x14ac:dyDescent="0.2">
      <c r="F103" s="116"/>
      <c r="K103" s="116">
        <v>109425.88</v>
      </c>
    </row>
    <row r="104" spans="6:11" x14ac:dyDescent="0.2">
      <c r="F104" s="116"/>
      <c r="K104" s="116">
        <v>346613.47</v>
      </c>
    </row>
    <row r="105" spans="6:11" x14ac:dyDescent="0.2">
      <c r="F105" s="116"/>
      <c r="K105" s="116">
        <v>87209.18</v>
      </c>
    </row>
    <row r="106" spans="6:11" x14ac:dyDescent="0.2">
      <c r="F106" s="116"/>
      <c r="K106" s="116">
        <v>392503.52</v>
      </c>
    </row>
    <row r="107" spans="6:11" x14ac:dyDescent="0.2">
      <c r="F107" s="116"/>
      <c r="K107" s="116">
        <v>188183.02</v>
      </c>
    </row>
    <row r="108" spans="6:11" x14ac:dyDescent="0.2">
      <c r="F108" s="116"/>
      <c r="K108" s="116">
        <v>160905.82</v>
      </c>
    </row>
    <row r="109" spans="6:11" x14ac:dyDescent="0.2">
      <c r="F109" s="116"/>
      <c r="K109" s="116">
        <v>1151129.1399999999</v>
      </c>
    </row>
    <row r="110" spans="6:11" x14ac:dyDescent="0.2">
      <c r="F110" s="116"/>
      <c r="K110" s="116">
        <v>428557.44</v>
      </c>
    </row>
    <row r="111" spans="6:11" x14ac:dyDescent="0.2">
      <c r="F111" s="116"/>
      <c r="K111" s="116">
        <v>533847.27</v>
      </c>
    </row>
    <row r="112" spans="6:11" x14ac:dyDescent="0.2">
      <c r="F112" s="116"/>
      <c r="K112" s="116">
        <v>415198.91</v>
      </c>
    </row>
    <row r="113" spans="6:11" x14ac:dyDescent="0.2">
      <c r="F113" s="116"/>
      <c r="K113" s="116">
        <v>173414.26</v>
      </c>
    </row>
    <row r="114" spans="6:11" x14ac:dyDescent="0.2">
      <c r="F114" s="116"/>
      <c r="K114" s="116">
        <v>95580.75</v>
      </c>
    </row>
    <row r="115" spans="6:11" x14ac:dyDescent="0.2">
      <c r="F115" s="116"/>
      <c r="K115" s="116">
        <v>334129.26</v>
      </c>
    </row>
    <row r="116" spans="6:11" x14ac:dyDescent="0.2">
      <c r="F116" s="116"/>
      <c r="K116" s="116">
        <v>17569.71</v>
      </c>
    </row>
    <row r="117" spans="6:11" x14ac:dyDescent="0.2">
      <c r="F117" s="116"/>
      <c r="K117" s="116">
        <v>256301.59</v>
      </c>
    </row>
    <row r="118" spans="6:11" x14ac:dyDescent="0.2">
      <c r="F118" s="116"/>
      <c r="K118" s="116">
        <v>76543.070000000007</v>
      </c>
    </row>
    <row r="119" spans="6:11" x14ac:dyDescent="0.2">
      <c r="F119" s="116"/>
      <c r="K119" s="116">
        <v>622615.09</v>
      </c>
    </row>
    <row r="120" spans="6:11" x14ac:dyDescent="0.2">
      <c r="F120" s="116"/>
      <c r="K120" s="116">
        <v>189926.66</v>
      </c>
    </row>
    <row r="121" spans="6:11" x14ac:dyDescent="0.2">
      <c r="F121" s="116"/>
      <c r="K121" s="116">
        <v>15798.71</v>
      </c>
    </row>
    <row r="122" spans="6:11" x14ac:dyDescent="0.2">
      <c r="F122" s="116"/>
      <c r="K122" s="116">
        <v>426802.68</v>
      </c>
    </row>
    <row r="123" spans="6:11" x14ac:dyDescent="0.2">
      <c r="F123" s="116"/>
      <c r="K123" s="116">
        <v>394368.78</v>
      </c>
    </row>
    <row r="124" spans="6:11" x14ac:dyDescent="0.2">
      <c r="F124" s="116"/>
      <c r="K124" s="116">
        <v>202400.43</v>
      </c>
    </row>
    <row r="125" spans="6:11" x14ac:dyDescent="0.2">
      <c r="F125" s="116"/>
      <c r="K125" s="116">
        <v>124704.69</v>
      </c>
    </row>
    <row r="126" spans="6:11" x14ac:dyDescent="0.2">
      <c r="F126" s="116"/>
      <c r="K126" s="116">
        <v>42116.11</v>
      </c>
    </row>
    <row r="127" spans="6:11" x14ac:dyDescent="0.2">
      <c r="F127" s="116"/>
      <c r="K127" s="116">
        <v>133187.93</v>
      </c>
    </row>
    <row r="128" spans="6:11" x14ac:dyDescent="0.2">
      <c r="F128" s="116"/>
      <c r="K128" s="116">
        <v>219165.97</v>
      </c>
    </row>
    <row r="129" spans="6:11" x14ac:dyDescent="0.2">
      <c r="F129" s="116"/>
      <c r="K129" s="116">
        <v>58379.360000000001</v>
      </c>
    </row>
    <row r="130" spans="6:11" x14ac:dyDescent="0.2">
      <c r="F130" s="116"/>
      <c r="K130" s="116">
        <v>1065437.33</v>
      </c>
    </row>
    <row r="131" spans="6:11" x14ac:dyDescent="0.2">
      <c r="F131" s="116"/>
      <c r="K131" s="116">
        <v>206442.93</v>
      </c>
    </row>
    <row r="132" spans="6:11" x14ac:dyDescent="0.2">
      <c r="F132" s="116"/>
      <c r="K132" s="116">
        <v>92638.85</v>
      </c>
    </row>
    <row r="133" spans="6:11" x14ac:dyDescent="0.2">
      <c r="F133" s="116"/>
      <c r="K133" s="116">
        <v>66882.429999999993</v>
      </c>
    </row>
    <row r="134" spans="6:11" x14ac:dyDescent="0.2">
      <c r="F134" s="116"/>
      <c r="K134" s="116">
        <v>136742.92000000001</v>
      </c>
    </row>
    <row r="135" spans="6:11" x14ac:dyDescent="0.2">
      <c r="F135" s="116"/>
      <c r="K135" s="116">
        <v>60871.35</v>
      </c>
    </row>
    <row r="136" spans="6:11" x14ac:dyDescent="0.2">
      <c r="F136" s="116"/>
      <c r="K136" s="116">
        <v>203770.02</v>
      </c>
    </row>
    <row r="137" spans="6:11" x14ac:dyDescent="0.2">
      <c r="F137" s="116"/>
      <c r="K137" s="116">
        <v>18887.21</v>
      </c>
    </row>
    <row r="138" spans="6:11" x14ac:dyDescent="0.2">
      <c r="F138" s="116"/>
      <c r="K138" s="116">
        <v>111407.32</v>
      </c>
    </row>
    <row r="139" spans="6:11" x14ac:dyDescent="0.2">
      <c r="F139" s="116"/>
      <c r="K139" s="116">
        <v>310309.31</v>
      </c>
    </row>
    <row r="140" spans="6:11" x14ac:dyDescent="0.2">
      <c r="F140" s="116"/>
      <c r="K140" s="116">
        <v>25133.32</v>
      </c>
    </row>
    <row r="141" spans="6:11" x14ac:dyDescent="0.2">
      <c r="F141" s="116"/>
      <c r="K141" s="116">
        <v>176749.79</v>
      </c>
    </row>
    <row r="142" spans="6:11" x14ac:dyDescent="0.2">
      <c r="F142" s="116"/>
      <c r="K142" s="116">
        <v>67986.399999999994</v>
      </c>
    </row>
    <row r="143" spans="6:11" x14ac:dyDescent="0.2">
      <c r="F143" s="116"/>
      <c r="K143" s="116">
        <v>211514.16</v>
      </c>
    </row>
    <row r="144" spans="6:11" x14ac:dyDescent="0.2">
      <c r="F144" s="116"/>
      <c r="K144" s="116">
        <v>144090.44</v>
      </c>
    </row>
    <row r="145" spans="6:11" x14ac:dyDescent="0.2">
      <c r="F145" s="116"/>
      <c r="K145" s="116">
        <v>49448.18</v>
      </c>
    </row>
    <row r="146" spans="6:11" x14ac:dyDescent="0.2">
      <c r="F146" s="116"/>
      <c r="K146" s="116">
        <v>378788.53</v>
      </c>
    </row>
    <row r="147" spans="6:11" x14ac:dyDescent="0.2">
      <c r="F147" s="116"/>
      <c r="K147" s="116">
        <v>160883.74</v>
      </c>
    </row>
    <row r="148" spans="6:11" x14ac:dyDescent="0.2">
      <c r="F148" s="116"/>
      <c r="K148" s="116">
        <v>202284.32</v>
      </c>
    </row>
    <row r="149" spans="6:11" x14ac:dyDescent="0.2">
      <c r="F149" s="116"/>
      <c r="K149" s="116">
        <v>6306.87</v>
      </c>
    </row>
    <row r="150" spans="6:11" x14ac:dyDescent="0.2">
      <c r="F150" s="116"/>
      <c r="K150" s="116">
        <v>95184.02</v>
      </c>
    </row>
    <row r="151" spans="6:11" x14ac:dyDescent="0.2">
      <c r="F151" s="116"/>
      <c r="K151" s="116">
        <v>107852.19</v>
      </c>
    </row>
    <row r="152" spans="6:11" x14ac:dyDescent="0.2">
      <c r="F152" s="116"/>
      <c r="K152" s="116">
        <v>104714.26</v>
      </c>
    </row>
    <row r="153" spans="6:11" x14ac:dyDescent="0.2">
      <c r="F153" s="116"/>
      <c r="K153" s="116">
        <v>112560.94</v>
      </c>
    </row>
    <row r="154" spans="6:11" x14ac:dyDescent="0.2">
      <c r="F154" s="116"/>
      <c r="K154" s="116">
        <v>195933.06</v>
      </c>
    </row>
    <row r="155" spans="6:11" x14ac:dyDescent="0.2">
      <c r="F155" s="116"/>
      <c r="K155" s="116">
        <v>20188.48</v>
      </c>
    </row>
    <row r="156" spans="6:11" x14ac:dyDescent="0.2">
      <c r="F156" s="116"/>
      <c r="K156" s="116">
        <v>158285.97</v>
      </c>
    </row>
    <row r="157" spans="6:11" x14ac:dyDescent="0.2">
      <c r="F157" s="116"/>
      <c r="K157" s="116">
        <v>85544.99</v>
      </c>
    </row>
    <row r="158" spans="6:11" x14ac:dyDescent="0.2">
      <c r="F158" s="116"/>
      <c r="K158" s="116">
        <v>35230.51</v>
      </c>
    </row>
    <row r="159" spans="6:11" x14ac:dyDescent="0.2">
      <c r="F159" s="116"/>
      <c r="K159" s="116">
        <v>77032.679999999993</v>
      </c>
    </row>
    <row r="160" spans="6:11" x14ac:dyDescent="0.2">
      <c r="F160" s="116"/>
      <c r="K160" s="116">
        <v>36387.120000000003</v>
      </c>
    </row>
    <row r="161" spans="6:11" x14ac:dyDescent="0.2">
      <c r="F161" s="116"/>
      <c r="K161" s="116">
        <v>74228.05</v>
      </c>
    </row>
    <row r="162" spans="6:11" x14ac:dyDescent="0.2">
      <c r="F162" s="116"/>
      <c r="K162" s="116">
        <v>52354.85</v>
      </c>
    </row>
    <row r="163" spans="6:11" x14ac:dyDescent="0.2">
      <c r="F163" s="116"/>
      <c r="K163" s="116">
        <v>79076.72</v>
      </c>
    </row>
    <row r="164" spans="6:11" x14ac:dyDescent="0.2">
      <c r="F164" s="116"/>
      <c r="K164" s="116">
        <v>8765.3700000000008</v>
      </c>
    </row>
    <row r="165" spans="6:11" x14ac:dyDescent="0.2">
      <c r="F165" s="116"/>
      <c r="K165" s="116">
        <v>123633.12</v>
      </c>
    </row>
    <row r="166" spans="6:11" x14ac:dyDescent="0.2">
      <c r="F166" s="116"/>
      <c r="K166" s="116">
        <v>92581.5</v>
      </c>
    </row>
    <row r="167" spans="6:11" x14ac:dyDescent="0.2">
      <c r="F167" s="116"/>
      <c r="K167" s="116">
        <v>14513.78</v>
      </c>
    </row>
    <row r="168" spans="6:11" x14ac:dyDescent="0.2">
      <c r="F168" s="116"/>
      <c r="K168" s="116">
        <v>136542.04</v>
      </c>
    </row>
    <row r="169" spans="6:11" x14ac:dyDescent="0.2">
      <c r="F169" s="116"/>
      <c r="K169" s="116">
        <v>318767.99</v>
      </c>
    </row>
    <row r="170" spans="6:11" x14ac:dyDescent="0.2">
      <c r="F170" s="116"/>
      <c r="K170" s="116">
        <v>104219.85</v>
      </c>
    </row>
    <row r="171" spans="6:11" x14ac:dyDescent="0.2">
      <c r="F171" s="116"/>
      <c r="K171" s="116">
        <v>76903.02</v>
      </c>
    </row>
    <row r="172" spans="6:11" x14ac:dyDescent="0.2">
      <c r="F172" s="116"/>
      <c r="K172" s="116">
        <v>531752.23</v>
      </c>
    </row>
    <row r="173" spans="6:11" x14ac:dyDescent="0.2">
      <c r="F173" s="116"/>
      <c r="K173" s="116">
        <v>104998.56</v>
      </c>
    </row>
    <row r="174" spans="6:11" x14ac:dyDescent="0.2">
      <c r="F174" s="116"/>
      <c r="K174" s="116">
        <v>83996.32</v>
      </c>
    </row>
    <row r="175" spans="6:11" x14ac:dyDescent="0.2">
      <c r="F175" s="116"/>
      <c r="K175" s="116">
        <v>76301.97</v>
      </c>
    </row>
    <row r="176" spans="6:11" x14ac:dyDescent="0.2">
      <c r="F176" s="116"/>
      <c r="K176" s="116">
        <v>105670.04</v>
      </c>
    </row>
    <row r="177" spans="6:11" x14ac:dyDescent="0.2">
      <c r="F177" s="116"/>
      <c r="K177" s="116">
        <v>34433.730000000003</v>
      </c>
    </row>
    <row r="178" spans="6:11" x14ac:dyDescent="0.2">
      <c r="F178" s="116"/>
      <c r="K178" s="116">
        <v>323345.51</v>
      </c>
    </row>
    <row r="179" spans="6:11" x14ac:dyDescent="0.2">
      <c r="F179" s="116"/>
      <c r="K179" s="116">
        <v>139791.56</v>
      </c>
    </row>
    <row r="180" spans="6:11" x14ac:dyDescent="0.2">
      <c r="F180" s="116"/>
      <c r="K180" s="116">
        <v>96323.81</v>
      </c>
    </row>
    <row r="181" spans="6:11" x14ac:dyDescent="0.2">
      <c r="F181" s="116"/>
      <c r="K181" s="116">
        <v>155141.9</v>
      </c>
    </row>
    <row r="182" spans="6:11" x14ac:dyDescent="0.2">
      <c r="F182" s="116"/>
      <c r="K182" s="116">
        <v>146613.66</v>
      </c>
    </row>
    <row r="183" spans="6:11" x14ac:dyDescent="0.2">
      <c r="F183" s="116"/>
      <c r="K183" s="116">
        <v>104372.43</v>
      </c>
    </row>
    <row r="184" spans="6:11" x14ac:dyDescent="0.2">
      <c r="F184" s="116"/>
      <c r="K184" s="116">
        <v>48835.8</v>
      </c>
    </row>
    <row r="185" spans="6:11" x14ac:dyDescent="0.2">
      <c r="F185" s="116"/>
      <c r="K185" s="116">
        <v>35811.919999999998</v>
      </c>
    </row>
    <row r="186" spans="6:11" x14ac:dyDescent="0.2">
      <c r="F186" s="116"/>
      <c r="K186" s="116">
        <v>39671.82</v>
      </c>
    </row>
    <row r="187" spans="6:11" x14ac:dyDescent="0.2">
      <c r="F187" s="116"/>
      <c r="K187" s="116">
        <v>30507.46</v>
      </c>
    </row>
    <row r="188" spans="6:11" x14ac:dyDescent="0.2">
      <c r="F188" s="116"/>
      <c r="K188" s="116">
        <v>95668.2</v>
      </c>
    </row>
    <row r="189" spans="6:11" x14ac:dyDescent="0.2">
      <c r="F189" s="116"/>
      <c r="K189" s="116">
        <v>138960.89000000001</v>
      </c>
    </row>
    <row r="190" spans="6:11" x14ac:dyDescent="0.2">
      <c r="F190" s="116"/>
      <c r="K190" s="116">
        <v>204759.45</v>
      </c>
    </row>
    <row r="191" spans="6:11" x14ac:dyDescent="0.2">
      <c r="F191" s="116"/>
      <c r="K191" s="116">
        <v>195834.1</v>
      </c>
    </row>
    <row r="192" spans="6:11" x14ac:dyDescent="0.2">
      <c r="F192" s="116"/>
      <c r="K192" s="116">
        <v>89939.81</v>
      </c>
    </row>
    <row r="193" spans="6:11" x14ac:dyDescent="0.2">
      <c r="F193" s="116"/>
      <c r="K193" s="116">
        <v>162556.06</v>
      </c>
    </row>
    <row r="194" spans="6:11" x14ac:dyDescent="0.2">
      <c r="F194" s="116"/>
      <c r="K194" s="116">
        <v>16974.580000000002</v>
      </c>
    </row>
    <row r="195" spans="6:11" x14ac:dyDescent="0.2">
      <c r="F195" s="116"/>
      <c r="K195" s="116">
        <v>186519.91</v>
      </c>
    </row>
    <row r="196" spans="6:11" x14ac:dyDescent="0.2">
      <c r="F196" s="116"/>
      <c r="K196" s="116">
        <v>38261.14</v>
      </c>
    </row>
    <row r="197" spans="6:11" x14ac:dyDescent="0.2">
      <c r="F197" s="116"/>
      <c r="K197" s="116">
        <v>152800.79</v>
      </c>
    </row>
    <row r="198" spans="6:11" x14ac:dyDescent="0.2">
      <c r="F198" s="116"/>
      <c r="K198" s="116">
        <v>7597.77</v>
      </c>
    </row>
    <row r="199" spans="6:11" x14ac:dyDescent="0.2">
      <c r="F199" s="116"/>
      <c r="K199" s="116">
        <v>99381.9</v>
      </c>
    </row>
    <row r="200" spans="6:11" x14ac:dyDescent="0.2">
      <c r="F200" s="116"/>
      <c r="K200" s="116">
        <v>173682.71</v>
      </c>
    </row>
    <row r="201" spans="6:11" x14ac:dyDescent="0.2">
      <c r="F201" s="116"/>
      <c r="K201" s="116">
        <v>335164.74</v>
      </c>
    </row>
    <row r="202" spans="6:11" x14ac:dyDescent="0.2">
      <c r="F202" s="116"/>
      <c r="K202" s="116">
        <v>317167.3</v>
      </c>
    </row>
    <row r="203" spans="6:11" x14ac:dyDescent="0.2">
      <c r="F203" s="116"/>
      <c r="K203" s="116">
        <v>81213.75</v>
      </c>
    </row>
    <row r="204" spans="6:11" x14ac:dyDescent="0.2">
      <c r="F204" s="116"/>
      <c r="K204" s="116">
        <v>56270.63</v>
      </c>
    </row>
    <row r="205" spans="6:11" x14ac:dyDescent="0.2">
      <c r="F205" s="116"/>
      <c r="K205" s="116">
        <v>49225.55</v>
      </c>
    </row>
    <row r="206" spans="6:11" x14ac:dyDescent="0.2">
      <c r="F206" s="116"/>
      <c r="K206" s="116">
        <v>130723.28</v>
      </c>
    </row>
    <row r="207" spans="6:11" x14ac:dyDescent="0.2">
      <c r="F207" s="116"/>
      <c r="K207" s="116">
        <v>67480.66</v>
      </c>
    </row>
    <row r="208" spans="6:11" x14ac:dyDescent="0.2">
      <c r="F208" s="116"/>
      <c r="K208" s="116">
        <v>183191.15</v>
      </c>
    </row>
    <row r="209" spans="6:11" x14ac:dyDescent="0.2">
      <c r="F209" s="116"/>
      <c r="K209" s="116">
        <v>54441.57</v>
      </c>
    </row>
    <row r="210" spans="6:11" x14ac:dyDescent="0.2">
      <c r="F210" s="116"/>
      <c r="K210" s="116">
        <v>296449.21999999997</v>
      </c>
    </row>
    <row r="211" spans="6:11" x14ac:dyDescent="0.2">
      <c r="F211" s="116"/>
      <c r="K211" s="116">
        <v>107193.18</v>
      </c>
    </row>
    <row r="212" spans="6:11" x14ac:dyDescent="0.2">
      <c r="F212" s="116"/>
      <c r="K212" s="116">
        <v>35529.94</v>
      </c>
    </row>
    <row r="213" spans="6:11" x14ac:dyDescent="0.2">
      <c r="F213" s="116"/>
      <c r="K213" s="116">
        <v>216379.24</v>
      </c>
    </row>
    <row r="214" spans="6:11" x14ac:dyDescent="0.2">
      <c r="F214" s="116"/>
      <c r="K214" s="116">
        <v>199612.67</v>
      </c>
    </row>
    <row r="215" spans="6:11" x14ac:dyDescent="0.2">
      <c r="F215" s="116"/>
      <c r="K215" s="116">
        <v>161799.15</v>
      </c>
    </row>
    <row r="216" spans="6:11" x14ac:dyDescent="0.2">
      <c r="F216" s="116"/>
      <c r="K216" s="116">
        <v>57799.39</v>
      </c>
    </row>
    <row r="217" spans="6:11" x14ac:dyDescent="0.2">
      <c r="F217" s="116"/>
      <c r="K217" s="116">
        <v>253064.83</v>
      </c>
    </row>
    <row r="218" spans="6:11" x14ac:dyDescent="0.2">
      <c r="F218" s="116"/>
      <c r="K218" s="116">
        <v>30261.02</v>
      </c>
    </row>
    <row r="219" spans="6:11" x14ac:dyDescent="0.2">
      <c r="F219" s="116"/>
      <c r="K219" s="116">
        <v>37430.129999999997</v>
      </c>
    </row>
    <row r="220" spans="6:11" x14ac:dyDescent="0.2">
      <c r="F220" s="116"/>
      <c r="K220" s="116">
        <v>32533.81</v>
      </c>
    </row>
    <row r="221" spans="6:11" x14ac:dyDescent="0.2">
      <c r="F221" s="116"/>
      <c r="K221" s="116">
        <v>9182.0300000000007</v>
      </c>
    </row>
    <row r="222" spans="6:11" x14ac:dyDescent="0.2">
      <c r="F222" s="116"/>
      <c r="K222" s="116">
        <v>17352.73</v>
      </c>
    </row>
    <row r="223" spans="6:11" x14ac:dyDescent="0.2">
      <c r="F223" s="116"/>
      <c r="K223" s="116">
        <v>159621.09</v>
      </c>
    </row>
    <row r="224" spans="6:11" x14ac:dyDescent="0.2">
      <c r="F224" s="116"/>
      <c r="K224" s="116">
        <v>17932.53</v>
      </c>
    </row>
    <row r="225" spans="6:11" x14ac:dyDescent="0.2">
      <c r="F225" s="116"/>
      <c r="K225" s="116">
        <v>72036.61</v>
      </c>
    </row>
    <row r="226" spans="6:11" x14ac:dyDescent="0.2">
      <c r="F226" s="116"/>
      <c r="K226" s="116">
        <v>184701.2</v>
      </c>
    </row>
    <row r="227" spans="6:11" x14ac:dyDescent="0.2">
      <c r="F227" s="116"/>
      <c r="K227" s="116">
        <v>73060.070000000007</v>
      </c>
    </row>
    <row r="228" spans="6:11" x14ac:dyDescent="0.2">
      <c r="F228" s="116"/>
      <c r="K228" s="116">
        <v>180678.83</v>
      </c>
    </row>
    <row r="229" spans="6:11" x14ac:dyDescent="0.2">
      <c r="F229" s="116"/>
      <c r="K229" s="116">
        <v>69817.47</v>
      </c>
    </row>
    <row r="230" spans="6:11" x14ac:dyDescent="0.2">
      <c r="F230" s="116"/>
      <c r="K230" s="116">
        <v>42953.86</v>
      </c>
    </row>
    <row r="231" spans="6:11" x14ac:dyDescent="0.2">
      <c r="F231" s="116"/>
      <c r="K231" s="116">
        <v>54309.66</v>
      </c>
    </row>
    <row r="232" spans="6:11" x14ac:dyDescent="0.2">
      <c r="F232" s="116"/>
      <c r="K232" s="116">
        <v>74503.44</v>
      </c>
    </row>
    <row r="233" spans="6:11" x14ac:dyDescent="0.2">
      <c r="F233" s="116"/>
      <c r="K233" s="116">
        <v>188691.5</v>
      </c>
    </row>
    <row r="234" spans="6:11" x14ac:dyDescent="0.2">
      <c r="F234" s="116"/>
      <c r="K234" s="116">
        <v>172571.86</v>
      </c>
    </row>
    <row r="235" spans="6:11" x14ac:dyDescent="0.2">
      <c r="F235" s="116"/>
      <c r="K235" s="116">
        <v>50244.08</v>
      </c>
    </row>
    <row r="236" spans="6:11" x14ac:dyDescent="0.2">
      <c r="F236" s="116"/>
      <c r="K236" s="116">
        <v>60247.9</v>
      </c>
    </row>
    <row r="237" spans="6:11" x14ac:dyDescent="0.2">
      <c r="F237" s="116"/>
      <c r="K237" s="116">
        <v>133670.69</v>
      </c>
    </row>
    <row r="238" spans="6:11" x14ac:dyDescent="0.2">
      <c r="F238" s="116"/>
      <c r="K238" s="116">
        <v>32250.61</v>
      </c>
    </row>
    <row r="239" spans="6:11" x14ac:dyDescent="0.2">
      <c r="F239" s="116"/>
      <c r="K239" s="116">
        <v>36292.230000000003</v>
      </c>
    </row>
    <row r="240" spans="6:11" x14ac:dyDescent="0.2">
      <c r="F240" s="116"/>
      <c r="K240" s="116">
        <v>94300.49</v>
      </c>
    </row>
    <row r="241" spans="6:11" x14ac:dyDescent="0.2">
      <c r="F241" s="116"/>
      <c r="K241" s="116">
        <v>85983.6</v>
      </c>
    </row>
    <row r="242" spans="6:11" x14ac:dyDescent="0.2">
      <c r="F242" s="116"/>
      <c r="K242" s="116">
        <v>99959.56</v>
      </c>
    </row>
    <row r="243" spans="6:11" x14ac:dyDescent="0.2">
      <c r="F243" s="116"/>
      <c r="K243" s="116">
        <v>431910.96</v>
      </c>
    </row>
    <row r="244" spans="6:11" x14ac:dyDescent="0.2">
      <c r="F244" s="116"/>
      <c r="K244" s="116">
        <v>551553.12</v>
      </c>
    </row>
    <row r="245" spans="6:11" x14ac:dyDescent="0.2">
      <c r="F245" s="116"/>
      <c r="K245" s="116">
        <v>101495.72</v>
      </c>
    </row>
    <row r="246" spans="6:11" x14ac:dyDescent="0.2">
      <c r="F246" s="116"/>
      <c r="K246" s="116">
        <v>223226.03</v>
      </c>
    </row>
    <row r="247" spans="6:11" x14ac:dyDescent="0.2">
      <c r="F247" s="116"/>
      <c r="K247" s="116">
        <v>38251.22</v>
      </c>
    </row>
    <row r="248" spans="6:11" x14ac:dyDescent="0.2">
      <c r="F248" s="116"/>
      <c r="K248" s="116">
        <v>31581.29</v>
      </c>
    </row>
    <row r="249" spans="6:11" x14ac:dyDescent="0.2">
      <c r="F249" s="116"/>
      <c r="K249" s="116">
        <v>187075.48</v>
      </c>
    </row>
    <row r="250" spans="6:11" x14ac:dyDescent="0.2">
      <c r="F250" s="116"/>
      <c r="K250" s="116">
        <v>292445.58</v>
      </c>
    </row>
    <row r="251" spans="6:11" x14ac:dyDescent="0.2">
      <c r="F251" s="116"/>
      <c r="K251" s="116">
        <v>47891.16</v>
      </c>
    </row>
    <row r="252" spans="6:11" x14ac:dyDescent="0.2">
      <c r="F252" s="116"/>
      <c r="K252" s="116">
        <v>18354.68</v>
      </c>
    </row>
    <row r="253" spans="6:11" x14ac:dyDescent="0.2">
      <c r="F253" s="116"/>
      <c r="K253" s="116">
        <v>154957.75</v>
      </c>
    </row>
    <row r="254" spans="6:11" x14ac:dyDescent="0.2">
      <c r="F254" s="116"/>
      <c r="K254" s="116">
        <v>421180.43</v>
      </c>
    </row>
    <row r="255" spans="6:11" x14ac:dyDescent="0.2">
      <c r="F255" s="116"/>
      <c r="K255" s="116">
        <v>60674.2</v>
      </c>
    </row>
    <row r="256" spans="6:11" x14ac:dyDescent="0.2">
      <c r="F256" s="116"/>
      <c r="K256" s="116">
        <v>30461.1</v>
      </c>
    </row>
    <row r="257" spans="6:11" x14ac:dyDescent="0.2">
      <c r="F257" s="116"/>
      <c r="K257" s="116">
        <v>26805.08</v>
      </c>
    </row>
    <row r="258" spans="6:11" x14ac:dyDescent="0.2">
      <c r="F258" s="116"/>
      <c r="K258" s="116">
        <v>109950.68</v>
      </c>
    </row>
    <row r="259" spans="6:11" x14ac:dyDescent="0.2">
      <c r="F259" s="116"/>
      <c r="K259" s="116">
        <v>125364.86</v>
      </c>
    </row>
    <row r="260" spans="6:11" x14ac:dyDescent="0.2">
      <c r="F260" s="116"/>
      <c r="K260" s="116">
        <v>50606.43</v>
      </c>
    </row>
    <row r="261" spans="6:11" x14ac:dyDescent="0.2">
      <c r="F261" s="116"/>
      <c r="K261" s="116">
        <v>131221.95000000001</v>
      </c>
    </row>
    <row r="262" spans="6:11" x14ac:dyDescent="0.2">
      <c r="F262" s="116"/>
      <c r="K262" s="116">
        <v>109653.13</v>
      </c>
    </row>
    <row r="263" spans="6:11" x14ac:dyDescent="0.2">
      <c r="F263" s="116"/>
      <c r="K263" s="116">
        <v>76443.399999999994</v>
      </c>
    </row>
    <row r="264" spans="6:11" x14ac:dyDescent="0.2">
      <c r="F264" s="116"/>
      <c r="K264" s="116">
        <v>129656.58</v>
      </c>
    </row>
    <row r="265" spans="6:11" x14ac:dyDescent="0.2">
      <c r="F265" s="116"/>
      <c r="K265" s="116">
        <v>141558.29</v>
      </c>
    </row>
    <row r="266" spans="6:11" x14ac:dyDescent="0.2">
      <c r="F266" s="116"/>
      <c r="K266" s="116">
        <v>7911.72</v>
      </c>
    </row>
    <row r="267" spans="6:11" x14ac:dyDescent="0.2">
      <c r="F267" s="116"/>
      <c r="K267" s="116">
        <v>7654.85</v>
      </c>
    </row>
    <row r="268" spans="6:11" x14ac:dyDescent="0.2">
      <c r="F268" s="116"/>
      <c r="K268" s="116">
        <v>108073.2</v>
      </c>
    </row>
    <row r="269" spans="6:11" x14ac:dyDescent="0.2">
      <c r="F269" s="116"/>
      <c r="K269" s="116">
        <v>12765.02</v>
      </c>
    </row>
    <row r="270" spans="6:11" x14ac:dyDescent="0.2">
      <c r="F270" s="116"/>
      <c r="K270" s="116">
        <v>133560.13</v>
      </c>
    </row>
    <row r="271" spans="6:11" x14ac:dyDescent="0.2">
      <c r="F271" s="116"/>
      <c r="K271" s="116">
        <v>57197.22</v>
      </c>
    </row>
    <row r="272" spans="6:11" x14ac:dyDescent="0.2">
      <c r="F272" s="116"/>
      <c r="K272" s="116">
        <v>103805.41</v>
      </c>
    </row>
    <row r="273" spans="6:11" x14ac:dyDescent="0.2">
      <c r="F273" s="116"/>
      <c r="K273" s="116">
        <v>170654.86</v>
      </c>
    </row>
    <row r="274" spans="6:11" x14ac:dyDescent="0.2">
      <c r="F274" s="116"/>
      <c r="K274" s="116">
        <v>185307.72</v>
      </c>
    </row>
    <row r="275" spans="6:11" x14ac:dyDescent="0.2">
      <c r="F275" s="116"/>
      <c r="K275" s="116">
        <v>13647.54</v>
      </c>
    </row>
    <row r="276" spans="6:11" x14ac:dyDescent="0.2">
      <c r="F276" s="116"/>
      <c r="K276" s="116">
        <v>101241.99</v>
      </c>
    </row>
    <row r="277" spans="6:11" x14ac:dyDescent="0.2">
      <c r="F277" s="116"/>
      <c r="K277" s="116">
        <v>33365.75</v>
      </c>
    </row>
    <row r="278" spans="6:11" x14ac:dyDescent="0.2">
      <c r="F278" s="116"/>
      <c r="K278" s="116">
        <v>135639.15</v>
      </c>
    </row>
    <row r="279" spans="6:11" x14ac:dyDescent="0.2">
      <c r="F279" s="116"/>
      <c r="K279" s="116">
        <v>128005.01</v>
      </c>
    </row>
    <row r="280" spans="6:11" x14ac:dyDescent="0.2">
      <c r="F280" s="116"/>
      <c r="K280" s="116">
        <v>112720.92</v>
      </c>
    </row>
    <row r="281" spans="6:11" x14ac:dyDescent="0.2">
      <c r="F281" s="116"/>
      <c r="K281" s="116">
        <v>55116.04</v>
      </c>
    </row>
    <row r="282" spans="6:11" x14ac:dyDescent="0.2">
      <c r="F282" s="116"/>
      <c r="K282" s="116">
        <v>28144.13</v>
      </c>
    </row>
    <row r="283" spans="6:11" x14ac:dyDescent="0.2">
      <c r="F283" s="116"/>
      <c r="K283" s="116">
        <v>96340.21</v>
      </c>
    </row>
    <row r="284" spans="6:11" x14ac:dyDescent="0.2">
      <c r="F284" s="116"/>
      <c r="K284" s="116">
        <v>336534.53</v>
      </c>
    </row>
    <row r="285" spans="6:11" x14ac:dyDescent="0.2">
      <c r="F285" s="116"/>
      <c r="K285" s="116">
        <v>77951.600000000006</v>
      </c>
    </row>
    <row r="286" spans="6:11" x14ac:dyDescent="0.2">
      <c r="F286" s="116"/>
      <c r="K286" s="116">
        <v>115852.15</v>
      </c>
    </row>
    <row r="287" spans="6:11" x14ac:dyDescent="0.2">
      <c r="F287" s="116"/>
      <c r="K287" s="116">
        <v>121780.47</v>
      </c>
    </row>
    <row r="288" spans="6:11" x14ac:dyDescent="0.2">
      <c r="F288" s="116"/>
      <c r="K288" s="116">
        <v>578303.72</v>
      </c>
    </row>
    <row r="289" spans="6:11" x14ac:dyDescent="0.2">
      <c r="F289" s="116"/>
      <c r="K289" s="116">
        <v>50924.85</v>
      </c>
    </row>
    <row r="290" spans="6:11" x14ac:dyDescent="0.2">
      <c r="F290" s="116"/>
      <c r="K290" s="116">
        <v>245458.92</v>
      </c>
    </row>
    <row r="291" spans="6:11" x14ac:dyDescent="0.2">
      <c r="F291" s="116"/>
      <c r="K291" s="116">
        <v>37245.69</v>
      </c>
    </row>
    <row r="292" spans="6:11" x14ac:dyDescent="0.2">
      <c r="F292" s="116"/>
      <c r="K292" s="116">
        <v>90939.1</v>
      </c>
    </row>
    <row r="293" spans="6:11" x14ac:dyDescent="0.2">
      <c r="F293" s="116"/>
      <c r="K293" s="116">
        <v>182719.84</v>
      </c>
    </row>
    <row r="294" spans="6:11" x14ac:dyDescent="0.2">
      <c r="F294" s="116"/>
      <c r="K294" s="116">
        <v>106003.4</v>
      </c>
    </row>
    <row r="295" spans="6:11" x14ac:dyDescent="0.2">
      <c r="F295" s="116"/>
      <c r="K295" s="116">
        <v>214422.06</v>
      </c>
    </row>
    <row r="296" spans="6:11" x14ac:dyDescent="0.2">
      <c r="F296" s="116"/>
      <c r="K296" s="116">
        <v>152336.35999999999</v>
      </c>
    </row>
    <row r="297" spans="6:11" x14ac:dyDescent="0.2">
      <c r="F297" s="116"/>
      <c r="K297" s="116">
        <v>106144.39</v>
      </c>
    </row>
    <row r="298" spans="6:11" x14ac:dyDescent="0.2">
      <c r="F298" s="116"/>
      <c r="K298" s="116">
        <v>188914.06</v>
      </c>
    </row>
    <row r="299" spans="6:11" x14ac:dyDescent="0.2">
      <c r="F299" s="116"/>
      <c r="K299" s="116">
        <v>66979.25</v>
      </c>
    </row>
    <row r="300" spans="6:11" x14ac:dyDescent="0.2">
      <c r="F300" s="116"/>
      <c r="K300" s="116">
        <v>273469.15999999997</v>
      </c>
    </row>
    <row r="301" spans="6:11" x14ac:dyDescent="0.2">
      <c r="F301" s="116"/>
      <c r="K301" s="116">
        <v>273511.84000000003</v>
      </c>
    </row>
    <row r="302" spans="6:11" x14ac:dyDescent="0.2">
      <c r="F302" s="116"/>
      <c r="K302" s="116">
        <v>66211.89</v>
      </c>
    </row>
    <row r="303" spans="6:11" x14ac:dyDescent="0.2">
      <c r="F303" s="116"/>
      <c r="K303" s="116">
        <v>96624.09</v>
      </c>
    </row>
    <row r="304" spans="6:11" x14ac:dyDescent="0.2">
      <c r="F304" s="116"/>
      <c r="K304" s="116">
        <v>133841.82999999999</v>
      </c>
    </row>
    <row r="305" spans="6:11" x14ac:dyDescent="0.2">
      <c r="F305" s="116"/>
      <c r="K305" s="116">
        <v>360445</v>
      </c>
    </row>
    <row r="306" spans="6:11" x14ac:dyDescent="0.2">
      <c r="F306" s="116"/>
      <c r="K306" s="116">
        <v>104077.83</v>
      </c>
    </row>
    <row r="307" spans="6:11" x14ac:dyDescent="0.2">
      <c r="F307" s="116"/>
      <c r="K307" s="116">
        <v>16255.26</v>
      </c>
    </row>
    <row r="308" spans="6:11" x14ac:dyDescent="0.2">
      <c r="F308" s="116"/>
      <c r="K308" s="116">
        <v>246974.99</v>
      </c>
    </row>
    <row r="309" spans="6:11" x14ac:dyDescent="0.2">
      <c r="F309" s="116"/>
      <c r="K309" s="116">
        <v>146472.34</v>
      </c>
    </row>
    <row r="310" spans="6:11" x14ac:dyDescent="0.2">
      <c r="F310" s="116"/>
      <c r="K310" s="116">
        <v>30399.43</v>
      </c>
    </row>
    <row r="311" spans="6:11" x14ac:dyDescent="0.2">
      <c r="F311" s="116"/>
      <c r="K311" s="116">
        <v>104921.54</v>
      </c>
    </row>
    <row r="312" spans="6:11" x14ac:dyDescent="0.2">
      <c r="F312" s="116"/>
      <c r="K312" s="116">
        <v>76299.179999999993</v>
      </c>
    </row>
    <row r="313" spans="6:11" x14ac:dyDescent="0.2">
      <c r="F313" s="116"/>
      <c r="K313" s="116">
        <v>58762.04</v>
      </c>
    </row>
    <row r="314" spans="6:11" x14ac:dyDescent="0.2">
      <c r="F314" s="116"/>
      <c r="K314" s="116">
        <v>173440.87</v>
      </c>
    </row>
    <row r="315" spans="6:11" x14ac:dyDescent="0.2">
      <c r="F315" s="116"/>
      <c r="K315" s="116">
        <v>15821.94</v>
      </c>
    </row>
    <row r="316" spans="6:11" x14ac:dyDescent="0.2">
      <c r="F316" s="116"/>
      <c r="K316" s="116">
        <v>250847.35</v>
      </c>
    </row>
    <row r="317" spans="6:11" x14ac:dyDescent="0.2">
      <c r="F317" s="116"/>
      <c r="K317" s="116">
        <v>329499.56</v>
      </c>
    </row>
    <row r="318" spans="6:11" x14ac:dyDescent="0.2">
      <c r="F318" s="116"/>
      <c r="K318" s="116">
        <v>442019.44</v>
      </c>
    </row>
    <row r="319" spans="6:11" x14ac:dyDescent="0.2">
      <c r="F319" s="116"/>
      <c r="K319" s="116">
        <v>307365</v>
      </c>
    </row>
    <row r="320" spans="6:11" x14ac:dyDescent="0.2">
      <c r="F320" s="116"/>
      <c r="K320" s="116">
        <v>558888.67000000004</v>
      </c>
    </row>
    <row r="321" spans="6:11" x14ac:dyDescent="0.2">
      <c r="F321" s="116"/>
      <c r="K321" s="116">
        <v>48028.21</v>
      </c>
    </row>
    <row r="322" spans="6:11" x14ac:dyDescent="0.2">
      <c r="F322" s="116"/>
      <c r="K322" s="116">
        <v>998600.64</v>
      </c>
    </row>
    <row r="323" spans="6:11" x14ac:dyDescent="0.2">
      <c r="F323" s="116"/>
      <c r="K323" s="116">
        <v>206870.34</v>
      </c>
    </row>
    <row r="324" spans="6:11" x14ac:dyDescent="0.2">
      <c r="F324" s="116"/>
      <c r="K324" s="116">
        <v>25595.02</v>
      </c>
    </row>
    <row r="325" spans="6:11" x14ac:dyDescent="0.2">
      <c r="F325" s="116"/>
      <c r="K325" s="116">
        <v>65274.09</v>
      </c>
    </row>
    <row r="326" spans="6:11" x14ac:dyDescent="0.2">
      <c r="F326" s="116"/>
      <c r="K326" s="116">
        <v>9433.34</v>
      </c>
    </row>
    <row r="327" spans="6:11" x14ac:dyDescent="0.2">
      <c r="F327" s="116"/>
      <c r="K327" s="116">
        <v>60127.43</v>
      </c>
    </row>
    <row r="328" spans="6:11" x14ac:dyDescent="0.2">
      <c r="F328" s="116"/>
      <c r="K328" s="116">
        <v>35016.17</v>
      </c>
    </row>
    <row r="329" spans="6:11" x14ac:dyDescent="0.2">
      <c r="F329" s="116"/>
      <c r="K329" s="116">
        <v>26190.66</v>
      </c>
    </row>
    <row r="330" spans="6:11" x14ac:dyDescent="0.2">
      <c r="F330" s="116"/>
      <c r="K330" s="116">
        <v>172635.78</v>
      </c>
    </row>
    <row r="331" spans="6:11" x14ac:dyDescent="0.2">
      <c r="F331" s="116"/>
      <c r="K331" s="116">
        <v>14972.72</v>
      </c>
    </row>
    <row r="332" spans="6:11" x14ac:dyDescent="0.2">
      <c r="F332" s="116"/>
      <c r="K332" s="116">
        <v>24468.71</v>
      </c>
    </row>
    <row r="333" spans="6:11" x14ac:dyDescent="0.2">
      <c r="F333" s="116"/>
      <c r="K333" s="116">
        <v>85940.08</v>
      </c>
    </row>
    <row r="334" spans="6:11" x14ac:dyDescent="0.2">
      <c r="F334" s="116"/>
      <c r="K334" s="116">
        <v>63549</v>
      </c>
    </row>
    <row r="335" spans="6:11" x14ac:dyDescent="0.2">
      <c r="F335" s="116"/>
      <c r="K335" s="116">
        <v>624714.61</v>
      </c>
    </row>
    <row r="336" spans="6:11" x14ac:dyDescent="0.2">
      <c r="F336" s="116"/>
      <c r="K336" s="116">
        <v>44650.71</v>
      </c>
    </row>
    <row r="337" spans="6:11" x14ac:dyDescent="0.2">
      <c r="F337" s="116"/>
      <c r="K337" s="116">
        <v>78632.06</v>
      </c>
    </row>
    <row r="338" spans="6:11" x14ac:dyDescent="0.2">
      <c r="F338" s="116"/>
      <c r="K338" s="116">
        <v>35616.230000000003</v>
      </c>
    </row>
    <row r="339" spans="6:11" x14ac:dyDescent="0.2">
      <c r="F339" s="116"/>
      <c r="K339" s="116">
        <v>61252.39</v>
      </c>
    </row>
    <row r="340" spans="6:11" x14ac:dyDescent="0.2">
      <c r="F340" s="116"/>
      <c r="K340" s="116">
        <v>359292.25</v>
      </c>
    </row>
    <row r="341" spans="6:11" x14ac:dyDescent="0.2">
      <c r="F341" s="116"/>
      <c r="K341" s="116">
        <v>317798.93</v>
      </c>
    </row>
    <row r="342" spans="6:11" x14ac:dyDescent="0.2">
      <c r="F342" s="116"/>
      <c r="K342" s="116">
        <v>43641.89</v>
      </c>
    </row>
    <row r="343" spans="6:11" x14ac:dyDescent="0.2">
      <c r="F343" s="116"/>
      <c r="K343" s="116">
        <v>693918.33</v>
      </c>
    </row>
    <row r="344" spans="6:11" x14ac:dyDescent="0.2">
      <c r="F344" s="116"/>
      <c r="K344" s="116">
        <v>206979.61</v>
      </c>
    </row>
    <row r="345" spans="6:11" x14ac:dyDescent="0.2">
      <c r="F345" s="116"/>
      <c r="K345" s="116">
        <v>103175.12</v>
      </c>
    </row>
    <row r="346" spans="6:11" x14ac:dyDescent="0.2">
      <c r="F346" s="116"/>
      <c r="K346" s="116">
        <v>150956.06</v>
      </c>
    </row>
    <row r="347" spans="6:11" x14ac:dyDescent="0.2">
      <c r="F347" s="116"/>
      <c r="K347" s="116">
        <v>291980.5</v>
      </c>
    </row>
    <row r="348" spans="6:11" x14ac:dyDescent="0.2">
      <c r="F348" s="116"/>
      <c r="K348" s="116">
        <v>513318.31</v>
      </c>
    </row>
    <row r="349" spans="6:11" x14ac:dyDescent="0.2">
      <c r="F349" s="116"/>
      <c r="K349" s="116">
        <v>55211.12</v>
      </c>
    </row>
    <row r="350" spans="6:11" x14ac:dyDescent="0.2">
      <c r="F350" s="116"/>
      <c r="K350" s="116">
        <v>840954.76</v>
      </c>
    </row>
    <row r="351" spans="6:11" x14ac:dyDescent="0.2">
      <c r="F351" s="116"/>
      <c r="K351" s="116">
        <v>117404.59</v>
      </c>
    </row>
    <row r="352" spans="6:11" x14ac:dyDescent="0.2">
      <c r="F352" s="116"/>
      <c r="K352" s="116">
        <v>217722.1</v>
      </c>
    </row>
    <row r="353" spans="6:11" x14ac:dyDescent="0.2">
      <c r="F353" s="116"/>
      <c r="K353" s="116">
        <v>23840.63</v>
      </c>
    </row>
    <row r="354" spans="6:11" x14ac:dyDescent="0.2">
      <c r="F354" s="116"/>
      <c r="K354" s="116">
        <v>110074.31</v>
      </c>
    </row>
    <row r="355" spans="6:11" x14ac:dyDescent="0.2">
      <c r="F355" s="116"/>
      <c r="K355" s="116">
        <v>17202.13</v>
      </c>
    </row>
    <row r="356" spans="6:11" x14ac:dyDescent="0.2">
      <c r="F356" s="116"/>
      <c r="K356" s="116">
        <v>5398.65</v>
      </c>
    </row>
    <row r="357" spans="6:11" x14ac:dyDescent="0.2">
      <c r="F357" s="116"/>
      <c r="K357" s="116">
        <v>210460.76</v>
      </c>
    </row>
    <row r="358" spans="6:11" x14ac:dyDescent="0.2">
      <c r="F358" s="116"/>
      <c r="K358" s="116">
        <v>596063.57999999996</v>
      </c>
    </row>
    <row r="359" spans="6:11" x14ac:dyDescent="0.2">
      <c r="F359" s="116"/>
      <c r="K359" s="116">
        <v>29898.82</v>
      </c>
    </row>
    <row r="360" spans="6:11" x14ac:dyDescent="0.2">
      <c r="F360" s="116"/>
      <c r="K360" s="116">
        <v>577570.65</v>
      </c>
    </row>
    <row r="361" spans="6:11" x14ac:dyDescent="0.2">
      <c r="F361" s="116"/>
      <c r="K361" s="116">
        <v>47335.78</v>
      </c>
    </row>
    <row r="362" spans="6:11" x14ac:dyDescent="0.2">
      <c r="F362" s="116"/>
      <c r="K362" s="116">
        <v>53989.43</v>
      </c>
    </row>
    <row r="363" spans="6:11" x14ac:dyDescent="0.2">
      <c r="F363" s="116"/>
      <c r="K363" s="116">
        <v>65695.009999999995</v>
      </c>
    </row>
    <row r="364" spans="6:11" x14ac:dyDescent="0.2">
      <c r="F364" s="116"/>
      <c r="K364" s="116">
        <v>70126.02</v>
      </c>
    </row>
    <row r="365" spans="6:11" x14ac:dyDescent="0.2">
      <c r="F365" s="116"/>
      <c r="K365" s="116">
        <v>141576.57</v>
      </c>
    </row>
    <row r="366" spans="6:11" x14ac:dyDescent="0.2">
      <c r="F366" s="116"/>
      <c r="K366" s="116">
        <v>124684.44</v>
      </c>
    </row>
    <row r="367" spans="6:11" x14ac:dyDescent="0.2">
      <c r="F367" s="116"/>
      <c r="K367" s="116">
        <v>94063.61</v>
      </c>
    </row>
    <row r="368" spans="6:11" x14ac:dyDescent="0.2">
      <c r="F368" s="116"/>
      <c r="K368" s="116">
        <v>96187.18</v>
      </c>
    </row>
    <row r="369" spans="6:11" x14ac:dyDescent="0.2">
      <c r="F369" s="116"/>
      <c r="K369" s="116">
        <v>36277.449999999997</v>
      </c>
    </row>
    <row r="370" spans="6:11" x14ac:dyDescent="0.2">
      <c r="F370" s="116"/>
      <c r="K370" s="116">
        <v>108867.56</v>
      </c>
    </row>
    <row r="371" spans="6:11" x14ac:dyDescent="0.2">
      <c r="F371" s="116"/>
      <c r="K371" s="116">
        <v>165375.89000000001</v>
      </c>
    </row>
    <row r="372" spans="6:11" x14ac:dyDescent="0.2">
      <c r="F372" s="116"/>
      <c r="K372" s="116">
        <v>301603.38</v>
      </c>
    </row>
    <row r="373" spans="6:11" x14ac:dyDescent="0.2">
      <c r="F373" s="116"/>
      <c r="K373" s="116">
        <v>120187.57</v>
      </c>
    </row>
    <row r="374" spans="6:11" x14ac:dyDescent="0.2">
      <c r="F374" s="116"/>
      <c r="K374" s="116">
        <v>450159.67</v>
      </c>
    </row>
    <row r="375" spans="6:11" x14ac:dyDescent="0.2">
      <c r="F375" s="116"/>
      <c r="K375" s="116">
        <v>127857.8</v>
      </c>
    </row>
    <row r="376" spans="6:11" x14ac:dyDescent="0.2">
      <c r="F376" s="116"/>
      <c r="K376" s="116">
        <v>22096.25</v>
      </c>
    </row>
    <row r="377" spans="6:11" x14ac:dyDescent="0.2">
      <c r="F377" s="116"/>
      <c r="K377" s="116">
        <v>89947.66</v>
      </c>
    </row>
    <row r="378" spans="6:11" x14ac:dyDescent="0.2">
      <c r="F378" s="116"/>
      <c r="K378" s="116">
        <v>76054.66</v>
      </c>
    </row>
    <row r="379" spans="6:11" x14ac:dyDescent="0.2">
      <c r="F379" s="116"/>
      <c r="K379" s="116">
        <v>33837.08</v>
      </c>
    </row>
    <row r="380" spans="6:11" x14ac:dyDescent="0.2">
      <c r="F380" s="116"/>
      <c r="K380" s="116">
        <v>51910.26</v>
      </c>
    </row>
    <row r="381" spans="6:11" x14ac:dyDescent="0.2">
      <c r="F381" s="116"/>
      <c r="K381" s="116">
        <v>634125.02</v>
      </c>
    </row>
    <row r="382" spans="6:11" x14ac:dyDescent="0.2">
      <c r="F382" s="116"/>
      <c r="K382" s="116">
        <v>8544.93</v>
      </c>
    </row>
    <row r="383" spans="6:11" x14ac:dyDescent="0.2">
      <c r="F383" s="116"/>
      <c r="K383" s="116">
        <v>141442.42000000001</v>
      </c>
    </row>
    <row r="384" spans="6:11" x14ac:dyDescent="0.2">
      <c r="F384" s="116"/>
      <c r="K384" s="116">
        <v>52804.73</v>
      </c>
    </row>
    <row r="385" spans="6:11" x14ac:dyDescent="0.2">
      <c r="F385" s="116"/>
      <c r="K385" s="116">
        <v>141603.59</v>
      </c>
    </row>
    <row r="386" spans="6:11" x14ac:dyDescent="0.2">
      <c r="F386" s="116"/>
      <c r="K386" s="116">
        <v>40781.32</v>
      </c>
    </row>
    <row r="387" spans="6:11" x14ac:dyDescent="0.2">
      <c r="F387" s="116"/>
      <c r="K387" s="116">
        <v>104834.53</v>
      </c>
    </row>
    <row r="388" spans="6:11" x14ac:dyDescent="0.2">
      <c r="F388" s="116"/>
      <c r="K388" s="116">
        <v>305568.09999999998</v>
      </c>
    </row>
    <row r="389" spans="6:11" x14ac:dyDescent="0.2">
      <c r="F389" s="116"/>
      <c r="K389" s="116">
        <v>207704.28</v>
      </c>
    </row>
    <row r="390" spans="6:11" x14ac:dyDescent="0.2">
      <c r="F390" s="116"/>
      <c r="K390" s="116">
        <v>202559.48</v>
      </c>
    </row>
    <row r="391" spans="6:11" x14ac:dyDescent="0.2">
      <c r="F391" s="116"/>
      <c r="K391" s="116">
        <v>123152.87</v>
      </c>
    </row>
    <row r="392" spans="6:11" x14ac:dyDescent="0.2">
      <c r="F392" s="116"/>
      <c r="K392" s="116">
        <v>437341.77</v>
      </c>
    </row>
    <row r="393" spans="6:11" x14ac:dyDescent="0.2">
      <c r="F393" s="116"/>
      <c r="K393" s="116">
        <v>98876.26</v>
      </c>
    </row>
    <row r="394" spans="6:11" x14ac:dyDescent="0.2">
      <c r="F394" s="116"/>
      <c r="K394" s="116">
        <v>57477.33</v>
      </c>
    </row>
    <row r="395" spans="6:11" x14ac:dyDescent="0.2">
      <c r="F395" s="116"/>
      <c r="K395" s="116">
        <v>106667.94</v>
      </c>
    </row>
    <row r="396" spans="6:11" x14ac:dyDescent="0.2">
      <c r="F396" s="116"/>
      <c r="K396" s="116">
        <v>29729.97</v>
      </c>
    </row>
    <row r="397" spans="6:11" x14ac:dyDescent="0.2">
      <c r="F397" s="116"/>
      <c r="K397" s="116">
        <v>560135.73</v>
      </c>
    </row>
    <row r="398" spans="6:11" x14ac:dyDescent="0.2">
      <c r="F398" s="116"/>
      <c r="K398" s="116">
        <v>346581.79</v>
      </c>
    </row>
    <row r="399" spans="6:11" x14ac:dyDescent="0.2">
      <c r="F399" s="116"/>
      <c r="K399" s="116">
        <v>41188.92</v>
      </c>
    </row>
    <row r="400" spans="6:11" x14ac:dyDescent="0.2">
      <c r="F400" s="116"/>
      <c r="K400" s="116">
        <v>187233.47</v>
      </c>
    </row>
    <row r="401" spans="6:11" x14ac:dyDescent="0.2">
      <c r="F401" s="116"/>
      <c r="K401" s="116">
        <v>125563.82</v>
      </c>
    </row>
    <row r="402" spans="6:11" x14ac:dyDescent="0.2">
      <c r="F402" s="116"/>
      <c r="K402" s="116">
        <v>204654.55</v>
      </c>
    </row>
    <row r="403" spans="6:11" x14ac:dyDescent="0.2">
      <c r="F403" s="116"/>
      <c r="K403" s="116">
        <v>24389.25</v>
      </c>
    </row>
    <row r="404" spans="6:11" x14ac:dyDescent="0.2">
      <c r="F404" s="116"/>
      <c r="K404" s="116">
        <v>706274.38</v>
      </c>
    </row>
    <row r="405" spans="6:11" x14ac:dyDescent="0.2">
      <c r="F405" s="116"/>
      <c r="K405" s="116">
        <v>23711.8</v>
      </c>
    </row>
    <row r="406" spans="6:11" x14ac:dyDescent="0.2">
      <c r="F406" s="116"/>
      <c r="K406" s="116">
        <v>6536.06</v>
      </c>
    </row>
    <row r="407" spans="6:11" x14ac:dyDescent="0.2">
      <c r="F407" s="116"/>
      <c r="K407" s="116">
        <v>23434.37</v>
      </c>
    </row>
    <row r="408" spans="6:11" x14ac:dyDescent="0.2">
      <c r="F408" s="116"/>
      <c r="K408" s="116">
        <v>105681.92</v>
      </c>
    </row>
    <row r="409" spans="6:11" x14ac:dyDescent="0.2">
      <c r="F409" s="116"/>
      <c r="K409" s="116">
        <v>65463.72</v>
      </c>
    </row>
    <row r="410" spans="6:11" x14ac:dyDescent="0.2">
      <c r="F410" s="116"/>
      <c r="K410" s="116">
        <v>876440.12</v>
      </c>
    </row>
    <row r="411" spans="6:11" x14ac:dyDescent="0.2">
      <c r="F411" s="116"/>
      <c r="K411" s="116">
        <v>40861.07</v>
      </c>
    </row>
    <row r="412" spans="6:11" x14ac:dyDescent="0.2">
      <c r="F412" s="116"/>
      <c r="K412" s="116">
        <v>476157.53</v>
      </c>
    </row>
    <row r="413" spans="6:11" x14ac:dyDescent="0.2">
      <c r="F413" s="116"/>
      <c r="K413" s="116">
        <v>25766.34</v>
      </c>
    </row>
    <row r="414" spans="6:11" x14ac:dyDescent="0.2">
      <c r="F414" s="116"/>
      <c r="K414" s="116">
        <v>36110.39</v>
      </c>
    </row>
    <row r="415" spans="6:11" x14ac:dyDescent="0.2">
      <c r="F415" s="116"/>
      <c r="K415" s="116">
        <v>361358.01</v>
      </c>
    </row>
    <row r="416" spans="6:11" x14ac:dyDescent="0.2">
      <c r="F416" s="116"/>
      <c r="K416" s="116">
        <v>233396.08</v>
      </c>
    </row>
    <row r="417" spans="6:11" x14ac:dyDescent="0.2">
      <c r="F417" s="116"/>
      <c r="K417" s="116">
        <v>172635.29</v>
      </c>
    </row>
    <row r="418" spans="6:11" x14ac:dyDescent="0.2">
      <c r="F418" s="116"/>
      <c r="K418" s="116">
        <v>55179.75</v>
      </c>
    </row>
    <row r="419" spans="6:11" x14ac:dyDescent="0.2">
      <c r="F419" s="116"/>
      <c r="K419" s="116">
        <v>191545.47</v>
      </c>
    </row>
    <row r="420" spans="6:11" x14ac:dyDescent="0.2">
      <c r="F420" s="116"/>
      <c r="K420" s="116">
        <v>69213.320000000007</v>
      </c>
    </row>
    <row r="421" spans="6:11" x14ac:dyDescent="0.2">
      <c r="F421" s="116"/>
      <c r="K421" s="116">
        <v>76724.31</v>
      </c>
    </row>
    <row r="422" spans="6:11" x14ac:dyDescent="0.2">
      <c r="F422" s="116"/>
      <c r="K422" s="116">
        <v>74983.09</v>
      </c>
    </row>
    <row r="423" spans="6:11" x14ac:dyDescent="0.2">
      <c r="F423" s="116"/>
      <c r="K423" s="116">
        <v>96723.06</v>
      </c>
    </row>
    <row r="424" spans="6:11" x14ac:dyDescent="0.2">
      <c r="F424" s="116"/>
      <c r="K424" s="116">
        <v>326465.65000000002</v>
      </c>
    </row>
    <row r="425" spans="6:11" x14ac:dyDescent="0.2">
      <c r="F425" s="116"/>
      <c r="K425" s="116">
        <v>56162</v>
      </c>
    </row>
    <row r="426" spans="6:11" x14ac:dyDescent="0.2">
      <c r="F426" s="116"/>
      <c r="K426" s="116">
        <v>479437</v>
      </c>
    </row>
    <row r="427" spans="6:11" x14ac:dyDescent="0.2">
      <c r="F427" s="116"/>
      <c r="K427" s="116">
        <v>109976.78</v>
      </c>
    </row>
    <row r="428" spans="6:11" x14ac:dyDescent="0.2">
      <c r="F428" s="116"/>
      <c r="K428" s="116">
        <v>36046.65</v>
      </c>
    </row>
    <row r="429" spans="6:11" x14ac:dyDescent="0.2">
      <c r="F429" s="116"/>
      <c r="K429" s="116">
        <v>144690.35</v>
      </c>
    </row>
    <row r="430" spans="6:11" x14ac:dyDescent="0.2">
      <c r="F430" s="116"/>
      <c r="K430" s="116">
        <v>56351.41</v>
      </c>
    </row>
    <row r="431" spans="6:11" x14ac:dyDescent="0.2">
      <c r="F431" s="116"/>
      <c r="K431" s="116">
        <v>68305.11</v>
      </c>
    </row>
    <row r="432" spans="6:11" x14ac:dyDescent="0.2">
      <c r="F432" s="116"/>
      <c r="K432" s="116">
        <v>182443.03</v>
      </c>
    </row>
    <row r="433" spans="6:11" x14ac:dyDescent="0.2">
      <c r="F433" s="116"/>
      <c r="K433" s="116">
        <v>427421.04</v>
      </c>
    </row>
    <row r="434" spans="6:11" x14ac:dyDescent="0.2">
      <c r="F434" s="116"/>
      <c r="K434" s="116">
        <v>29482.21</v>
      </c>
    </row>
    <row r="435" spans="6:11" x14ac:dyDescent="0.2">
      <c r="F435" s="116"/>
      <c r="K435" s="116">
        <v>14791.61</v>
      </c>
    </row>
    <row r="436" spans="6:11" x14ac:dyDescent="0.2">
      <c r="F436" s="116"/>
      <c r="K436" s="116">
        <v>42628.41</v>
      </c>
    </row>
    <row r="437" spans="6:11" x14ac:dyDescent="0.2">
      <c r="F437" s="116"/>
      <c r="K437" s="116">
        <v>248225.62</v>
      </c>
    </row>
    <row r="438" spans="6:11" x14ac:dyDescent="0.2">
      <c r="F438" s="116"/>
      <c r="K438" s="116">
        <v>98297.64</v>
      </c>
    </row>
    <row r="439" spans="6:11" x14ac:dyDescent="0.2">
      <c r="F439" s="116"/>
      <c r="K439" s="116">
        <v>132341.34</v>
      </c>
    </row>
    <row r="440" spans="6:11" x14ac:dyDescent="0.2">
      <c r="F440" s="116"/>
      <c r="K440" s="116">
        <v>659393.37</v>
      </c>
    </row>
    <row r="441" spans="6:11" x14ac:dyDescent="0.2">
      <c r="F441" s="116"/>
      <c r="K441" s="116">
        <v>116718.32</v>
      </c>
    </row>
    <row r="442" spans="6:11" x14ac:dyDescent="0.2">
      <c r="F442" s="116"/>
      <c r="K442" s="116">
        <v>99047.15</v>
      </c>
    </row>
    <row r="443" spans="6:11" x14ac:dyDescent="0.2">
      <c r="F443" s="116"/>
      <c r="K443" s="116">
        <v>14698.28</v>
      </c>
    </row>
    <row r="444" spans="6:11" x14ac:dyDescent="0.2">
      <c r="F444" s="116"/>
      <c r="K444" s="116">
        <v>79778.95</v>
      </c>
    </row>
    <row r="445" spans="6:11" x14ac:dyDescent="0.2">
      <c r="F445" s="116"/>
      <c r="K445" s="116">
        <v>86235.5</v>
      </c>
    </row>
    <row r="446" spans="6:11" x14ac:dyDescent="0.2">
      <c r="F446" s="116"/>
      <c r="K446" s="116">
        <v>162014.85</v>
      </c>
    </row>
    <row r="447" spans="6:11" x14ac:dyDescent="0.2">
      <c r="F447" s="116"/>
      <c r="K447" s="116">
        <v>28741.05</v>
      </c>
    </row>
    <row r="448" spans="6:11" x14ac:dyDescent="0.2">
      <c r="F448" s="116"/>
      <c r="K448" s="116">
        <v>51903.05</v>
      </c>
    </row>
    <row r="449" spans="6:11" x14ac:dyDescent="0.2">
      <c r="F449" s="116"/>
      <c r="K449" s="116">
        <v>24835.82</v>
      </c>
    </row>
    <row r="450" spans="6:11" x14ac:dyDescent="0.2">
      <c r="F450" s="116"/>
      <c r="K450" s="116">
        <v>30113.919999999998</v>
      </c>
    </row>
    <row r="451" spans="6:11" x14ac:dyDescent="0.2">
      <c r="F451" s="116"/>
      <c r="K451" s="116">
        <v>167706.13</v>
      </c>
    </row>
    <row r="452" spans="6:11" x14ac:dyDescent="0.2">
      <c r="F452" s="116"/>
      <c r="K452" s="116">
        <v>114430.94</v>
      </c>
    </row>
    <row r="453" spans="6:11" x14ac:dyDescent="0.2">
      <c r="F453" s="116"/>
      <c r="K453" s="116">
        <v>154683.46</v>
      </c>
    </row>
    <row r="454" spans="6:11" x14ac:dyDescent="0.2">
      <c r="F454" s="116"/>
      <c r="K454" s="116">
        <v>70441.679999999993</v>
      </c>
    </row>
    <row r="455" spans="6:11" x14ac:dyDescent="0.2">
      <c r="F455" s="116"/>
      <c r="K455" s="116">
        <v>85831.07</v>
      </c>
    </row>
    <row r="456" spans="6:11" x14ac:dyDescent="0.2">
      <c r="F456" s="116"/>
      <c r="K456" s="116">
        <v>45533.760000000002</v>
      </c>
    </row>
    <row r="457" spans="6:11" x14ac:dyDescent="0.2">
      <c r="F457" s="116"/>
      <c r="K457" s="116">
        <v>107955.53</v>
      </c>
    </row>
    <row r="458" spans="6:11" x14ac:dyDescent="0.2">
      <c r="F458" s="116"/>
      <c r="K458" s="116">
        <v>93463.55</v>
      </c>
    </row>
    <row r="459" spans="6:11" x14ac:dyDescent="0.2">
      <c r="F459" s="116"/>
      <c r="K459" s="116">
        <v>116958.57</v>
      </c>
    </row>
    <row r="460" spans="6:11" x14ac:dyDescent="0.2">
      <c r="F460" s="116"/>
      <c r="K460" s="116">
        <v>1772861.32</v>
      </c>
    </row>
    <row r="461" spans="6:11" x14ac:dyDescent="0.2">
      <c r="F461" s="116"/>
      <c r="K461" s="116">
        <v>135424.85</v>
      </c>
    </row>
    <row r="462" spans="6:11" x14ac:dyDescent="0.2">
      <c r="F462" s="116"/>
      <c r="K462" s="116">
        <v>551589.69999999995</v>
      </c>
    </row>
    <row r="463" spans="6:11" x14ac:dyDescent="0.2">
      <c r="F463" s="116"/>
      <c r="K463" s="116">
        <v>147643.06</v>
      </c>
    </row>
    <row r="464" spans="6:11" x14ac:dyDescent="0.2">
      <c r="F464" s="116"/>
      <c r="K464" s="116">
        <v>168875.53</v>
      </c>
    </row>
    <row r="465" spans="6:11" x14ac:dyDescent="0.2">
      <c r="F465" s="116"/>
      <c r="K465" s="116">
        <v>392664.05</v>
      </c>
    </row>
    <row r="466" spans="6:11" x14ac:dyDescent="0.2">
      <c r="F466" s="116"/>
      <c r="K466" s="116">
        <v>95747.54</v>
      </c>
    </row>
    <row r="467" spans="6:11" x14ac:dyDescent="0.2">
      <c r="F467" s="116"/>
      <c r="K467" s="116">
        <v>127138.37</v>
      </c>
    </row>
    <row r="468" spans="6:11" x14ac:dyDescent="0.2">
      <c r="F468" s="116"/>
      <c r="K468" s="116">
        <v>5745.31</v>
      </c>
    </row>
    <row r="469" spans="6:11" x14ac:dyDescent="0.2">
      <c r="F469" s="116"/>
      <c r="K469" s="116">
        <v>330984.89</v>
      </c>
    </row>
    <row r="470" spans="6:11" x14ac:dyDescent="0.2">
      <c r="F470" s="116"/>
      <c r="K470" s="116">
        <v>41148.33</v>
      </c>
    </row>
    <row r="471" spans="6:11" x14ac:dyDescent="0.2">
      <c r="F471" s="116"/>
      <c r="K471" s="116">
        <v>21542.1</v>
      </c>
    </row>
    <row r="472" spans="6:11" x14ac:dyDescent="0.2">
      <c r="F472" s="116"/>
      <c r="K472" s="116">
        <v>1158142.98</v>
      </c>
    </row>
    <row r="473" spans="6:11" x14ac:dyDescent="0.2">
      <c r="F473" s="116"/>
      <c r="K473" s="116">
        <v>229994.58</v>
      </c>
    </row>
    <row r="474" spans="6:11" x14ac:dyDescent="0.2">
      <c r="F474" s="116"/>
      <c r="K474" s="116">
        <v>20522.68</v>
      </c>
    </row>
    <row r="475" spans="6:11" x14ac:dyDescent="0.2">
      <c r="F475" s="116"/>
      <c r="K475" s="116">
        <v>72097.36</v>
      </c>
    </row>
    <row r="476" spans="6:11" x14ac:dyDescent="0.2">
      <c r="F476" s="116"/>
      <c r="K476" s="116">
        <v>29719.66</v>
      </c>
    </row>
    <row r="477" spans="6:11" x14ac:dyDescent="0.2">
      <c r="F477" s="116"/>
      <c r="K477" s="116">
        <v>99431.17</v>
      </c>
    </row>
    <row r="478" spans="6:11" x14ac:dyDescent="0.2">
      <c r="F478" s="116"/>
      <c r="K478" s="116">
        <v>41027.410000000003</v>
      </c>
    </row>
    <row r="479" spans="6:11" x14ac:dyDescent="0.2">
      <c r="F479" s="116"/>
      <c r="K479" s="116">
        <v>67099.08</v>
      </c>
    </row>
    <row r="480" spans="6:11" x14ac:dyDescent="0.2">
      <c r="F480" s="116"/>
      <c r="K480" s="116">
        <v>117432.37</v>
      </c>
    </row>
    <row r="481" spans="6:11" x14ac:dyDescent="0.2">
      <c r="F481" s="116"/>
      <c r="K481" s="116">
        <v>221581.11</v>
      </c>
    </row>
    <row r="482" spans="6:11" x14ac:dyDescent="0.2">
      <c r="F482" s="116"/>
      <c r="K482" s="116">
        <v>58793.03</v>
      </c>
    </row>
    <row r="483" spans="6:11" x14ac:dyDescent="0.2">
      <c r="F483" s="116"/>
      <c r="K483" s="116">
        <v>98759.89</v>
      </c>
    </row>
    <row r="484" spans="6:11" x14ac:dyDescent="0.2">
      <c r="F484" s="116"/>
      <c r="K484" s="116">
        <v>313227.46000000002</v>
      </c>
    </row>
    <row r="485" spans="6:11" x14ac:dyDescent="0.2">
      <c r="F485" s="116"/>
      <c r="K485" s="116">
        <v>392463.49</v>
      </c>
    </row>
    <row r="486" spans="6:11" x14ac:dyDescent="0.2">
      <c r="F486" s="116"/>
      <c r="K486" s="116">
        <v>46980.74</v>
      </c>
    </row>
    <row r="487" spans="6:11" x14ac:dyDescent="0.2">
      <c r="F487" s="116"/>
      <c r="K487" s="116">
        <v>111771.92</v>
      </c>
    </row>
    <row r="488" spans="6:11" x14ac:dyDescent="0.2">
      <c r="F488" s="116"/>
      <c r="K488" s="116">
        <v>529360.79</v>
      </c>
    </row>
    <row r="489" spans="6:11" x14ac:dyDescent="0.2">
      <c r="F489" s="116"/>
      <c r="K489" s="116">
        <v>309598.78000000003</v>
      </c>
    </row>
    <row r="490" spans="6:11" x14ac:dyDescent="0.2">
      <c r="F490" s="116"/>
      <c r="K490" s="116">
        <v>147307.62</v>
      </c>
    </row>
    <row r="491" spans="6:11" x14ac:dyDescent="0.2">
      <c r="F491" s="116"/>
      <c r="K491" s="116">
        <v>178068.94</v>
      </c>
    </row>
    <row r="492" spans="6:11" x14ac:dyDescent="0.2">
      <c r="F492" s="116"/>
      <c r="K492" s="116">
        <v>226040.01</v>
      </c>
    </row>
    <row r="493" spans="6:11" x14ac:dyDescent="0.2">
      <c r="F493" s="116"/>
      <c r="K493" s="116">
        <v>196022.06</v>
      </c>
    </row>
    <row r="494" spans="6:11" x14ac:dyDescent="0.2">
      <c r="F494" s="116"/>
      <c r="K494" s="116">
        <v>251089.05</v>
      </c>
    </row>
    <row r="495" spans="6:11" x14ac:dyDescent="0.2">
      <c r="F495" s="116"/>
      <c r="K495" s="116">
        <v>117089.77</v>
      </c>
    </row>
    <row r="496" spans="6:11" x14ac:dyDescent="0.2">
      <c r="F496" s="116"/>
      <c r="K496" s="116">
        <v>173090.19</v>
      </c>
    </row>
    <row r="497" spans="6:11" x14ac:dyDescent="0.2">
      <c r="F497" s="116"/>
      <c r="K497" s="116">
        <v>69441.42</v>
      </c>
    </row>
    <row r="498" spans="6:11" x14ac:dyDescent="0.2">
      <c r="F498" s="116"/>
      <c r="K498" s="116">
        <v>242982.13</v>
      </c>
    </row>
    <row r="499" spans="6:11" x14ac:dyDescent="0.2">
      <c r="F499" s="116"/>
      <c r="K499" s="116">
        <v>238093.47</v>
      </c>
    </row>
    <row r="500" spans="6:11" x14ac:dyDescent="0.2">
      <c r="F500" s="116"/>
      <c r="K500" s="116">
        <v>25917.439999999999</v>
      </c>
    </row>
    <row r="501" spans="6:11" x14ac:dyDescent="0.2">
      <c r="F501" s="116"/>
      <c r="K501" s="116">
        <v>20632.189999999999</v>
      </c>
    </row>
    <row r="502" spans="6:11" x14ac:dyDescent="0.2">
      <c r="F502" s="116"/>
      <c r="K502" s="116">
        <v>56184.21</v>
      </c>
    </row>
    <row r="503" spans="6:11" x14ac:dyDescent="0.2">
      <c r="F503" s="116"/>
      <c r="K503" s="116">
        <v>50909.52</v>
      </c>
    </row>
    <row r="504" spans="6:11" x14ac:dyDescent="0.2">
      <c r="F504" s="116"/>
      <c r="K504" s="116">
        <v>53434.78</v>
      </c>
    </row>
    <row r="505" spans="6:11" x14ac:dyDescent="0.2">
      <c r="F505" s="116"/>
      <c r="K505" s="116">
        <v>308485.65999999997</v>
      </c>
    </row>
    <row r="506" spans="6:11" x14ac:dyDescent="0.2">
      <c r="F506" s="116"/>
      <c r="K506" s="116">
        <v>65775.88</v>
      </c>
    </row>
    <row r="507" spans="6:11" x14ac:dyDescent="0.2">
      <c r="F507" s="116"/>
      <c r="K507" s="116">
        <v>115863.17</v>
      </c>
    </row>
    <row r="508" spans="6:11" x14ac:dyDescent="0.2">
      <c r="F508" s="116"/>
      <c r="K508" s="116">
        <v>309274.07</v>
      </c>
    </row>
    <row r="509" spans="6:11" x14ac:dyDescent="0.2">
      <c r="F509" s="116"/>
      <c r="K509" s="116">
        <v>105006.69</v>
      </c>
    </row>
    <row r="510" spans="6:11" x14ac:dyDescent="0.2">
      <c r="F510" s="116"/>
      <c r="K510" s="116">
        <v>142625.26</v>
      </c>
    </row>
    <row r="511" spans="6:11" x14ac:dyDescent="0.2">
      <c r="F511" s="116"/>
      <c r="K511" s="116">
        <v>72365.48</v>
      </c>
    </row>
    <row r="512" spans="6:11" x14ac:dyDescent="0.2">
      <c r="F512" s="116"/>
      <c r="K512" s="116">
        <v>43017.24</v>
      </c>
    </row>
    <row r="513" spans="6:11" x14ac:dyDescent="0.2">
      <c r="F513" s="116"/>
      <c r="K513" s="116">
        <v>315625.59999999998</v>
      </c>
    </row>
    <row r="514" spans="6:11" x14ac:dyDescent="0.2">
      <c r="F514" s="116"/>
      <c r="K514" s="116">
        <v>40684.32</v>
      </c>
    </row>
    <row r="515" spans="6:11" x14ac:dyDescent="0.2">
      <c r="F515" s="116"/>
      <c r="K515" s="116">
        <v>312006.93</v>
      </c>
    </row>
    <row r="516" spans="6:11" x14ac:dyDescent="0.2">
      <c r="F516" s="116"/>
      <c r="K516" s="116">
        <v>232220.37</v>
      </c>
    </row>
    <row r="517" spans="6:11" x14ac:dyDescent="0.2">
      <c r="F517" s="116"/>
      <c r="K517" s="116">
        <v>406902.64</v>
      </c>
    </row>
    <row r="518" spans="6:11" x14ac:dyDescent="0.2">
      <c r="F518" s="116"/>
      <c r="K518" s="116">
        <v>215456.46</v>
      </c>
    </row>
    <row r="519" spans="6:11" x14ac:dyDescent="0.2">
      <c r="F519" s="116"/>
      <c r="K519" s="116">
        <v>89119.85</v>
      </c>
    </row>
    <row r="520" spans="6:11" x14ac:dyDescent="0.2">
      <c r="F520" s="116"/>
      <c r="K520" s="116">
        <v>30193.89</v>
      </c>
    </row>
    <row r="521" spans="6:11" x14ac:dyDescent="0.2">
      <c r="K521" s="116">
        <v>325374.46999999997</v>
      </c>
    </row>
    <row r="522" spans="6:11" x14ac:dyDescent="0.2">
      <c r="K522" s="116">
        <v>33565.31</v>
      </c>
    </row>
    <row r="523" spans="6:11" x14ac:dyDescent="0.2">
      <c r="K523" s="116">
        <v>46555.64</v>
      </c>
    </row>
    <row r="524" spans="6:11" x14ac:dyDescent="0.2">
      <c r="K524" s="116">
        <v>18976.28</v>
      </c>
    </row>
    <row r="525" spans="6:11" x14ac:dyDescent="0.2">
      <c r="K525" s="116">
        <v>85162.47</v>
      </c>
    </row>
    <row r="526" spans="6:11" x14ac:dyDescent="0.2">
      <c r="K526" s="116">
        <v>206321.77</v>
      </c>
    </row>
    <row r="527" spans="6:11" x14ac:dyDescent="0.2">
      <c r="K527" s="116">
        <v>109303.96</v>
      </c>
    </row>
    <row r="528" spans="6:11" x14ac:dyDescent="0.2">
      <c r="K528" s="116">
        <v>655919.46</v>
      </c>
    </row>
    <row r="529" spans="11:11" x14ac:dyDescent="0.2">
      <c r="K529" s="116">
        <v>3093057.99</v>
      </c>
    </row>
    <row r="530" spans="11:11" x14ac:dyDescent="0.2">
      <c r="K530" s="116">
        <v>44257.55</v>
      </c>
    </row>
    <row r="531" spans="11:11" x14ac:dyDescent="0.2">
      <c r="K531" s="116">
        <v>229441.73</v>
      </c>
    </row>
    <row r="532" spans="11:11" x14ac:dyDescent="0.2">
      <c r="K532" s="116">
        <v>950979.78</v>
      </c>
    </row>
    <row r="533" spans="11:11" x14ac:dyDescent="0.2">
      <c r="K533" s="116">
        <v>150632.01</v>
      </c>
    </row>
    <row r="534" spans="11:11" x14ac:dyDescent="0.2">
      <c r="K534" s="116">
        <v>494234.6</v>
      </c>
    </row>
    <row r="535" spans="11:11" x14ac:dyDescent="0.2">
      <c r="K535" s="116">
        <v>127136.94</v>
      </c>
    </row>
    <row r="536" spans="11:11" x14ac:dyDescent="0.2">
      <c r="K536" s="116">
        <v>469929.05</v>
      </c>
    </row>
    <row r="537" spans="11:11" x14ac:dyDescent="0.2">
      <c r="K537" s="116">
        <v>57660.92</v>
      </c>
    </row>
    <row r="538" spans="11:11" x14ac:dyDescent="0.2">
      <c r="K538" s="116">
        <v>25268.41</v>
      </c>
    </row>
    <row r="539" spans="11:11" x14ac:dyDescent="0.2">
      <c r="K539" s="116">
        <v>37401.99</v>
      </c>
    </row>
    <row r="540" spans="11:11" x14ac:dyDescent="0.2">
      <c r="K540" s="116">
        <v>76761.06</v>
      </c>
    </row>
    <row r="541" spans="11:11" x14ac:dyDescent="0.2">
      <c r="K541" s="116">
        <v>764498.55</v>
      </c>
    </row>
    <row r="542" spans="11:11" x14ac:dyDescent="0.2">
      <c r="K542" s="116">
        <v>14093.32</v>
      </c>
    </row>
    <row r="543" spans="11:11" x14ac:dyDescent="0.2">
      <c r="K543" s="116">
        <v>619672.27</v>
      </c>
    </row>
    <row r="544" spans="11:11" x14ac:dyDescent="0.2">
      <c r="K544" s="116">
        <v>161853.73000000001</v>
      </c>
    </row>
    <row r="545" spans="11:11" x14ac:dyDescent="0.2">
      <c r="K545" s="116">
        <v>92484.09</v>
      </c>
    </row>
    <row r="546" spans="11:11" x14ac:dyDescent="0.2">
      <c r="K546" s="116">
        <v>22730.47</v>
      </c>
    </row>
    <row r="547" spans="11:11" x14ac:dyDescent="0.2">
      <c r="K547" s="116">
        <v>459731.18</v>
      </c>
    </row>
    <row r="548" spans="11:11" x14ac:dyDescent="0.2">
      <c r="K548" s="116">
        <v>387321.95</v>
      </c>
    </row>
    <row r="549" spans="11:11" x14ac:dyDescent="0.2">
      <c r="K549" s="116">
        <v>136874.49</v>
      </c>
    </row>
    <row r="550" spans="11:11" x14ac:dyDescent="0.2">
      <c r="K550" s="116">
        <v>121749.42</v>
      </c>
    </row>
    <row r="551" spans="11:11" x14ac:dyDescent="0.2">
      <c r="K551" s="116">
        <v>14889.15</v>
      </c>
    </row>
    <row r="552" spans="11:11" x14ac:dyDescent="0.2">
      <c r="K552" s="116">
        <v>174390.71</v>
      </c>
    </row>
    <row r="553" spans="11:11" x14ac:dyDescent="0.2">
      <c r="K553" s="116">
        <v>405000.86</v>
      </c>
    </row>
    <row r="554" spans="11:11" x14ac:dyDescent="0.2">
      <c r="K554" s="116">
        <v>234739.6</v>
      </c>
    </row>
    <row r="555" spans="11:11" x14ac:dyDescent="0.2">
      <c r="K555" s="116">
        <v>504329.89</v>
      </c>
    </row>
    <row r="556" spans="11:11" x14ac:dyDescent="0.2">
      <c r="K556" s="116">
        <v>34745.480000000003</v>
      </c>
    </row>
    <row r="557" spans="11:11" x14ac:dyDescent="0.2">
      <c r="K557" s="116">
        <v>11185.11</v>
      </c>
    </row>
    <row r="558" spans="11:11" x14ac:dyDescent="0.2">
      <c r="K558" s="116">
        <v>124326.69</v>
      </c>
    </row>
    <row r="559" spans="11:11" x14ac:dyDescent="0.2">
      <c r="K559" s="116">
        <v>109867.99</v>
      </c>
    </row>
    <row r="560" spans="11:11" x14ac:dyDescent="0.2">
      <c r="K560" s="116">
        <v>312209.91999999998</v>
      </c>
    </row>
    <row r="561" spans="11:11" x14ac:dyDescent="0.2">
      <c r="K561" s="116">
        <v>305983.13</v>
      </c>
    </row>
    <row r="562" spans="11:11" x14ac:dyDescent="0.2">
      <c r="K562" s="116">
        <v>105048.94</v>
      </c>
    </row>
    <row r="563" spans="11:11" x14ac:dyDescent="0.2">
      <c r="K563" s="116">
        <v>178956.31</v>
      </c>
    </row>
    <row r="564" spans="11:11" x14ac:dyDescent="0.2">
      <c r="K564" s="116">
        <v>42361.599999999999</v>
      </c>
    </row>
    <row r="565" spans="11:11" x14ac:dyDescent="0.2">
      <c r="K565" s="116">
        <v>55361.279999999999</v>
      </c>
    </row>
    <row r="566" spans="11:11" x14ac:dyDescent="0.2">
      <c r="K566" s="116">
        <v>79606.39</v>
      </c>
    </row>
    <row r="567" spans="11:11" x14ac:dyDescent="0.2">
      <c r="K567" s="116">
        <v>179330.89</v>
      </c>
    </row>
    <row r="568" spans="11:11" x14ac:dyDescent="0.2">
      <c r="K568" s="116">
        <v>190165.07</v>
      </c>
    </row>
    <row r="569" spans="11:11" x14ac:dyDescent="0.2">
      <c r="K569" s="116">
        <v>650769.53</v>
      </c>
    </row>
    <row r="570" spans="11:11" x14ac:dyDescent="0.2">
      <c r="K570" s="116">
        <v>192562.89</v>
      </c>
    </row>
    <row r="571" spans="11:11" x14ac:dyDescent="0.2">
      <c r="K571" s="116">
        <v>137765.72</v>
      </c>
    </row>
    <row r="572" spans="11:11" x14ac:dyDescent="0.2">
      <c r="K572" s="116">
        <v>7658.16</v>
      </c>
    </row>
    <row r="573" spans="11:11" x14ac:dyDescent="0.2">
      <c r="K573" s="116">
        <v>146878.87</v>
      </c>
    </row>
    <row r="574" spans="11:11" x14ac:dyDescent="0.2">
      <c r="K574" s="116">
        <v>4215.8</v>
      </c>
    </row>
    <row r="575" spans="11:11" x14ac:dyDescent="0.2">
      <c r="K575" s="116">
        <v>279091.44</v>
      </c>
    </row>
    <row r="576" spans="11:11" x14ac:dyDescent="0.2">
      <c r="K576" s="116">
        <v>42355.58</v>
      </c>
    </row>
    <row r="577" spans="11:11" x14ac:dyDescent="0.2">
      <c r="K577" s="116">
        <v>12264.06</v>
      </c>
    </row>
    <row r="578" spans="11:11" x14ac:dyDescent="0.2">
      <c r="K578" s="116">
        <v>228977.01</v>
      </c>
    </row>
    <row r="579" spans="11:11" x14ac:dyDescent="0.2">
      <c r="K579" s="116">
        <v>113902.76</v>
      </c>
    </row>
    <row r="580" spans="11:11" x14ac:dyDescent="0.2">
      <c r="K580" s="116">
        <v>86172.95</v>
      </c>
    </row>
    <row r="581" spans="11:11" x14ac:dyDescent="0.2">
      <c r="K581" s="116">
        <v>98904.58</v>
      </c>
    </row>
    <row r="582" spans="11:11" x14ac:dyDescent="0.2">
      <c r="K582" s="116">
        <v>213387.76</v>
      </c>
    </row>
    <row r="583" spans="11:11" x14ac:dyDescent="0.2">
      <c r="K583" s="116">
        <v>81988.320000000007</v>
      </c>
    </row>
    <row r="584" spans="11:11" x14ac:dyDescent="0.2">
      <c r="K584" s="116">
        <v>220941.76</v>
      </c>
    </row>
    <row r="585" spans="11:11" x14ac:dyDescent="0.2">
      <c r="K585" s="116">
        <v>50704.46</v>
      </c>
    </row>
    <row r="586" spans="11:11" x14ac:dyDescent="0.2">
      <c r="K586" s="116">
        <v>109240.19</v>
      </c>
    </row>
    <row r="587" spans="11:11" x14ac:dyDescent="0.2">
      <c r="K587" s="116">
        <v>268016.24</v>
      </c>
    </row>
    <row r="588" spans="11:11" x14ac:dyDescent="0.2">
      <c r="K588" s="116">
        <v>286069.99</v>
      </c>
    </row>
    <row r="589" spans="11:11" x14ac:dyDescent="0.2">
      <c r="K589" s="116">
        <v>513653.99</v>
      </c>
    </row>
    <row r="590" spans="11:11" x14ac:dyDescent="0.2">
      <c r="K590" s="116">
        <v>61722.92</v>
      </c>
    </row>
    <row r="591" spans="11:11" x14ac:dyDescent="0.2">
      <c r="K591" s="116">
        <v>65806.210000000006</v>
      </c>
    </row>
    <row r="592" spans="11:11" x14ac:dyDescent="0.2">
      <c r="K592" s="116">
        <v>26098.66</v>
      </c>
    </row>
    <row r="593" spans="11:11" x14ac:dyDescent="0.2">
      <c r="K593" s="116">
        <v>168381.72</v>
      </c>
    </row>
    <row r="594" spans="11:11" x14ac:dyDescent="0.2">
      <c r="K594" s="116">
        <v>182124.46</v>
      </c>
    </row>
    <row r="595" spans="11:11" x14ac:dyDescent="0.2">
      <c r="K595" s="116">
        <v>99095.34</v>
      </c>
    </row>
    <row r="596" spans="11:11" x14ac:dyDescent="0.2">
      <c r="K596" s="116">
        <v>50756.29</v>
      </c>
    </row>
    <row r="597" spans="11:11" x14ac:dyDescent="0.2">
      <c r="K597" s="116">
        <v>105093.71</v>
      </c>
    </row>
    <row r="598" spans="11:11" x14ac:dyDescent="0.2">
      <c r="K598" s="116">
        <v>179887.54</v>
      </c>
    </row>
    <row r="599" spans="11:11" x14ac:dyDescent="0.2">
      <c r="K599" s="116">
        <v>87434.43</v>
      </c>
    </row>
    <row r="600" spans="11:11" x14ac:dyDescent="0.2">
      <c r="K600" s="116">
        <v>308748.65999999997</v>
      </c>
    </row>
    <row r="601" spans="11:11" x14ac:dyDescent="0.2">
      <c r="K601" s="116">
        <v>112768.1</v>
      </c>
    </row>
    <row r="602" spans="11:11" x14ac:dyDescent="0.2">
      <c r="K602" s="116">
        <v>44406.06</v>
      </c>
    </row>
    <row r="603" spans="11:11" x14ac:dyDescent="0.2">
      <c r="K603" s="116">
        <v>119337.41</v>
      </c>
    </row>
    <row r="604" spans="11:11" x14ac:dyDescent="0.2">
      <c r="K604" s="116">
        <v>33373.42</v>
      </c>
    </row>
    <row r="605" spans="11:11" x14ac:dyDescent="0.2">
      <c r="K605" s="116">
        <v>129793.76</v>
      </c>
    </row>
    <row r="606" spans="11:11" x14ac:dyDescent="0.2">
      <c r="K606" s="116">
        <v>26331.11</v>
      </c>
    </row>
    <row r="607" spans="11:11" x14ac:dyDescent="0.2">
      <c r="K607" s="116">
        <v>119815.43</v>
      </c>
    </row>
    <row r="608" spans="11:11" x14ac:dyDescent="0.2">
      <c r="K608" s="116">
        <v>70726.48</v>
      </c>
    </row>
    <row r="609" spans="11:11" x14ac:dyDescent="0.2">
      <c r="K609" s="116">
        <v>147727.25</v>
      </c>
    </row>
    <row r="610" spans="11:11" x14ac:dyDescent="0.2">
      <c r="K610" s="116">
        <v>91759.78</v>
      </c>
    </row>
    <row r="611" spans="11:11" x14ac:dyDescent="0.2">
      <c r="K611" s="116">
        <v>4183.07</v>
      </c>
    </row>
    <row r="612" spans="11:11" x14ac:dyDescent="0.2">
      <c r="K612" s="116">
        <v>77391.33</v>
      </c>
    </row>
    <row r="613" spans="11:11" x14ac:dyDescent="0.2">
      <c r="K613" s="116">
        <v>22232.2</v>
      </c>
    </row>
    <row r="614" spans="11:11" x14ac:dyDescent="0.2">
      <c r="K614" s="116">
        <v>289193.94</v>
      </c>
    </row>
    <row r="615" spans="11:11" x14ac:dyDescent="0.2">
      <c r="K615" s="116">
        <v>246674.18</v>
      </c>
    </row>
    <row r="616" spans="11:11" x14ac:dyDescent="0.2">
      <c r="K616" s="116">
        <v>26546.23</v>
      </c>
    </row>
    <row r="617" spans="11:11" x14ac:dyDescent="0.2">
      <c r="K617" s="116">
        <v>160756.72</v>
      </c>
    </row>
    <row r="618" spans="11:11" x14ac:dyDescent="0.2">
      <c r="K618" s="116">
        <v>17495.11</v>
      </c>
    </row>
    <row r="619" spans="11:11" x14ac:dyDescent="0.2">
      <c r="K619" s="116">
        <v>306365.65999999997</v>
      </c>
    </row>
    <row r="620" spans="11:11" x14ac:dyDescent="0.2">
      <c r="K620" s="116">
        <v>135462.85</v>
      </c>
    </row>
    <row r="621" spans="11:11" x14ac:dyDescent="0.2">
      <c r="K621" s="116">
        <v>28947.23</v>
      </c>
    </row>
    <row r="622" spans="11:11" x14ac:dyDescent="0.2">
      <c r="K622" s="116">
        <v>1448305.01</v>
      </c>
    </row>
    <row r="623" spans="11:11" x14ac:dyDescent="0.2">
      <c r="K623" s="116">
        <v>124849.08</v>
      </c>
    </row>
    <row r="624" spans="11:11" x14ac:dyDescent="0.2">
      <c r="K624" s="116">
        <v>138881.01</v>
      </c>
    </row>
    <row r="625" spans="11:11" x14ac:dyDescent="0.2">
      <c r="K625" s="116">
        <v>58317.8</v>
      </c>
    </row>
    <row r="626" spans="11:11" x14ac:dyDescent="0.2">
      <c r="K626" s="116">
        <v>150764.21</v>
      </c>
    </row>
    <row r="627" spans="11:11" x14ac:dyDescent="0.2">
      <c r="K627" s="116">
        <v>117611.41</v>
      </c>
    </row>
    <row r="628" spans="11:11" x14ac:dyDescent="0.2">
      <c r="K628" s="116">
        <v>259252.85</v>
      </c>
    </row>
    <row r="629" spans="11:11" x14ac:dyDescent="0.2">
      <c r="K629" s="116">
        <v>87778.22</v>
      </c>
    </row>
    <row r="630" spans="11:11" x14ac:dyDescent="0.2">
      <c r="K630" s="116">
        <v>137351.59</v>
      </c>
    </row>
    <row r="631" spans="11:11" x14ac:dyDescent="0.2">
      <c r="K631" s="116">
        <v>94332.4</v>
      </c>
    </row>
    <row r="632" spans="11:11" x14ac:dyDescent="0.2">
      <c r="K632" s="116">
        <v>102923.13</v>
      </c>
    </row>
    <row r="633" spans="11:11" x14ac:dyDescent="0.2">
      <c r="K633" s="116">
        <v>196138.74</v>
      </c>
    </row>
    <row r="634" spans="11:11" x14ac:dyDescent="0.2">
      <c r="K634" s="116">
        <v>51095.23</v>
      </c>
    </row>
    <row r="635" spans="11:11" x14ac:dyDescent="0.2">
      <c r="K635" s="116">
        <v>47019.31</v>
      </c>
    </row>
    <row r="636" spans="11:11" x14ac:dyDescent="0.2">
      <c r="K636" s="116">
        <v>782252.78</v>
      </c>
    </row>
    <row r="637" spans="11:11" x14ac:dyDescent="0.2">
      <c r="K637" s="116">
        <v>224155.37</v>
      </c>
    </row>
    <row r="638" spans="11:11" x14ac:dyDescent="0.2">
      <c r="K638" s="116">
        <v>648940.46</v>
      </c>
    </row>
    <row r="639" spans="11:11" x14ac:dyDescent="0.2">
      <c r="K639" s="116">
        <v>174612.49</v>
      </c>
    </row>
    <row r="640" spans="11:11" x14ac:dyDescent="0.2">
      <c r="K640" s="116">
        <v>125710.07</v>
      </c>
    </row>
    <row r="641" spans="11:11" x14ac:dyDescent="0.2">
      <c r="K641" s="116">
        <v>124978.47</v>
      </c>
    </row>
    <row r="642" spans="11:11" x14ac:dyDescent="0.2">
      <c r="K642" s="116">
        <v>47389.56</v>
      </c>
    </row>
    <row r="643" spans="11:11" x14ac:dyDescent="0.2">
      <c r="K643" s="116">
        <v>43080.81</v>
      </c>
    </row>
    <row r="644" spans="11:11" x14ac:dyDescent="0.2">
      <c r="K644" s="116">
        <v>94316.54</v>
      </c>
    </row>
    <row r="645" spans="11:11" x14ac:dyDescent="0.2">
      <c r="K645" s="116">
        <v>276743.32</v>
      </c>
    </row>
    <row r="646" spans="11:11" x14ac:dyDescent="0.2">
      <c r="K646" s="116">
        <v>30575.75</v>
      </c>
    </row>
    <row r="647" spans="11:11" x14ac:dyDescent="0.2">
      <c r="K647" s="116">
        <v>195882.63</v>
      </c>
    </row>
    <row r="648" spans="11:11" x14ac:dyDescent="0.2">
      <c r="K648" s="116">
        <v>61517.85</v>
      </c>
    </row>
    <row r="649" spans="11:11" x14ac:dyDescent="0.2">
      <c r="K649" s="116">
        <v>35025.33</v>
      </c>
    </row>
    <row r="650" spans="11:11" x14ac:dyDescent="0.2">
      <c r="K650" s="116">
        <v>92501.6</v>
      </c>
    </row>
    <row r="651" spans="11:11" x14ac:dyDescent="0.2">
      <c r="K651" s="116">
        <v>59360.76</v>
      </c>
    </row>
    <row r="652" spans="11:11" x14ac:dyDescent="0.2">
      <c r="K652" s="116">
        <v>67406.2</v>
      </c>
    </row>
    <row r="653" spans="11:11" x14ac:dyDescent="0.2">
      <c r="K653" s="116">
        <v>54086.31</v>
      </c>
    </row>
    <row r="654" spans="11:11" x14ac:dyDescent="0.2">
      <c r="K654" s="116">
        <v>27221.24</v>
      </c>
    </row>
    <row r="655" spans="11:11" x14ac:dyDescent="0.2">
      <c r="K655" s="116">
        <v>55765.93</v>
      </c>
    </row>
    <row r="656" spans="11:11" x14ac:dyDescent="0.2">
      <c r="K656" s="116">
        <v>142929.57999999999</v>
      </c>
    </row>
    <row r="657" spans="11:11" x14ac:dyDescent="0.2">
      <c r="K657" s="116">
        <v>349539.04</v>
      </c>
    </row>
    <row r="658" spans="11:11" x14ac:dyDescent="0.2">
      <c r="K658" s="116">
        <v>201291.73</v>
      </c>
    </row>
    <row r="659" spans="11:11" x14ac:dyDescent="0.2">
      <c r="K659" s="116">
        <v>446751.26</v>
      </c>
    </row>
    <row r="660" spans="11:11" x14ac:dyDescent="0.2">
      <c r="K660" s="116">
        <v>48602.54</v>
      </c>
    </row>
    <row r="661" spans="11:11" x14ac:dyDescent="0.2">
      <c r="K661" s="116">
        <v>51999.33</v>
      </c>
    </row>
    <row r="662" spans="11:11" x14ac:dyDescent="0.2">
      <c r="K662" s="116">
        <v>89176.5</v>
      </c>
    </row>
    <row r="663" spans="11:11" x14ac:dyDescent="0.2">
      <c r="K663" s="116">
        <v>8709.58</v>
      </c>
    </row>
    <row r="664" spans="11:11" x14ac:dyDescent="0.2">
      <c r="K664" s="116">
        <v>436740</v>
      </c>
    </row>
    <row r="665" spans="11:11" x14ac:dyDescent="0.2">
      <c r="K665" s="116">
        <v>217075.42</v>
      </c>
    </row>
    <row r="666" spans="11:11" x14ac:dyDescent="0.2">
      <c r="K666" s="116">
        <v>130645.2</v>
      </c>
    </row>
    <row r="667" spans="11:11" x14ac:dyDescent="0.2">
      <c r="K667" s="116">
        <v>122802.06</v>
      </c>
    </row>
    <row r="668" spans="11:11" x14ac:dyDescent="0.2">
      <c r="K668" s="116">
        <v>47425.04</v>
      </c>
    </row>
    <row r="669" spans="11:11" x14ac:dyDescent="0.2">
      <c r="K669" s="116">
        <v>144596.85</v>
      </c>
    </row>
    <row r="670" spans="11:11" x14ac:dyDescent="0.2">
      <c r="K670" s="116">
        <v>144324.97</v>
      </c>
    </row>
    <row r="671" spans="11:11" x14ac:dyDescent="0.2">
      <c r="K671" s="116">
        <v>123651.76</v>
      </c>
    </row>
    <row r="672" spans="11:11" x14ac:dyDescent="0.2">
      <c r="K672" s="116">
        <v>17843.830000000002</v>
      </c>
    </row>
    <row r="673" spans="11:11" x14ac:dyDescent="0.2">
      <c r="K673" s="116">
        <v>36933.410000000003</v>
      </c>
    </row>
    <row r="674" spans="11:11" x14ac:dyDescent="0.2">
      <c r="K674" s="116">
        <v>207776.45</v>
      </c>
    </row>
    <row r="675" spans="11:11" x14ac:dyDescent="0.2">
      <c r="K675" s="116">
        <v>60485.26</v>
      </c>
    </row>
    <row r="676" spans="11:11" x14ac:dyDescent="0.2">
      <c r="K676" s="116">
        <v>67662.95</v>
      </c>
    </row>
    <row r="677" spans="11:11" x14ac:dyDescent="0.2">
      <c r="K677" s="116">
        <v>53356.26</v>
      </c>
    </row>
    <row r="678" spans="11:11" x14ac:dyDescent="0.2">
      <c r="K678" s="116">
        <v>84647.35</v>
      </c>
    </row>
    <row r="679" spans="11:11" x14ac:dyDescent="0.2">
      <c r="K679" s="116">
        <v>46763.24</v>
      </c>
    </row>
    <row r="680" spans="11:11" x14ac:dyDescent="0.2">
      <c r="K680" s="116">
        <v>36926.22</v>
      </c>
    </row>
    <row r="681" spans="11:11" x14ac:dyDescent="0.2">
      <c r="K681" s="116">
        <v>83762.179999999993</v>
      </c>
    </row>
    <row r="682" spans="11:11" x14ac:dyDescent="0.2">
      <c r="K682" s="116">
        <v>19549.07</v>
      </c>
    </row>
    <row r="683" spans="11:11" x14ac:dyDescent="0.2">
      <c r="K683" s="116">
        <v>212315.29</v>
      </c>
    </row>
    <row r="684" spans="11:11" x14ac:dyDescent="0.2">
      <c r="K684" s="116">
        <v>130256.93</v>
      </c>
    </row>
    <row r="685" spans="11:11" x14ac:dyDescent="0.2">
      <c r="K685" s="116">
        <v>537523.92000000004</v>
      </c>
    </row>
    <row r="686" spans="11:11" x14ac:dyDescent="0.2">
      <c r="K686" s="116">
        <v>376630.95</v>
      </c>
    </row>
    <row r="687" spans="11:11" x14ac:dyDescent="0.2">
      <c r="K687" s="116">
        <v>152777.82</v>
      </c>
    </row>
    <row r="688" spans="11:11" x14ac:dyDescent="0.2">
      <c r="K688" s="116">
        <v>290382.28999999998</v>
      </c>
    </row>
    <row r="689" spans="11:11" x14ac:dyDescent="0.2">
      <c r="K689" s="116">
        <v>30371.1</v>
      </c>
    </row>
    <row r="690" spans="11:11" x14ac:dyDescent="0.2">
      <c r="K690" s="116">
        <v>28886.17</v>
      </c>
    </row>
    <row r="691" spans="11:11" x14ac:dyDescent="0.2">
      <c r="K691" s="116">
        <v>130542.77</v>
      </c>
    </row>
    <row r="692" spans="11:11" x14ac:dyDescent="0.2">
      <c r="K692" s="116">
        <v>36512.339999999997</v>
      </c>
    </row>
    <row r="693" spans="11:11" x14ac:dyDescent="0.2">
      <c r="K693" s="116">
        <v>22808.09</v>
      </c>
    </row>
    <row r="694" spans="11:11" x14ac:dyDescent="0.2">
      <c r="K694" s="116">
        <v>312798.7</v>
      </c>
    </row>
    <row r="695" spans="11:11" x14ac:dyDescent="0.2">
      <c r="K695" s="116">
        <v>32204.05</v>
      </c>
    </row>
    <row r="696" spans="11:11" x14ac:dyDescent="0.2">
      <c r="K696" s="116">
        <v>356624.35</v>
      </c>
    </row>
    <row r="697" spans="11:11" x14ac:dyDescent="0.2">
      <c r="K697" s="116">
        <v>156892.37</v>
      </c>
    </row>
    <row r="698" spans="11:11" x14ac:dyDescent="0.2">
      <c r="K698" s="116">
        <v>96793.69</v>
      </c>
    </row>
    <row r="699" spans="11:11" x14ac:dyDescent="0.2">
      <c r="K699" s="116">
        <v>310495.09999999998</v>
      </c>
    </row>
    <row r="700" spans="11:11" x14ac:dyDescent="0.2">
      <c r="K700" s="116">
        <v>111635.15</v>
      </c>
    </row>
    <row r="701" spans="11:11" x14ac:dyDescent="0.2">
      <c r="K701" s="116">
        <v>254294.12</v>
      </c>
    </row>
    <row r="702" spans="11:11" x14ac:dyDescent="0.2">
      <c r="K702" s="116">
        <v>453960.16</v>
      </c>
    </row>
    <row r="703" spans="11:11" x14ac:dyDescent="0.2">
      <c r="K703" s="116">
        <v>153798.65</v>
      </c>
    </row>
    <row r="704" spans="11:11" x14ac:dyDescent="0.2">
      <c r="K704" s="116">
        <v>57092.06</v>
      </c>
    </row>
    <row r="705" spans="11:11" x14ac:dyDescent="0.2">
      <c r="K705" s="116">
        <v>68066.990000000005</v>
      </c>
    </row>
    <row r="706" spans="11:11" x14ac:dyDescent="0.2">
      <c r="K706" s="116">
        <v>376798.55</v>
      </c>
    </row>
    <row r="707" spans="11:11" x14ac:dyDescent="0.2">
      <c r="K707" s="116">
        <v>180878.78</v>
      </c>
    </row>
    <row r="708" spans="11:11" x14ac:dyDescent="0.2">
      <c r="K708" s="116">
        <v>87358.85</v>
      </c>
    </row>
    <row r="709" spans="11:11" x14ac:dyDescent="0.2">
      <c r="K709" s="116">
        <v>75791.759999999995</v>
      </c>
    </row>
    <row r="710" spans="11:11" x14ac:dyDescent="0.2">
      <c r="K710" s="116">
        <v>124441.62</v>
      </c>
    </row>
    <row r="711" spans="11:11" x14ac:dyDescent="0.2">
      <c r="K711" s="116">
        <v>271713.23</v>
      </c>
    </row>
    <row r="712" spans="11:11" x14ac:dyDescent="0.2">
      <c r="K712" s="116">
        <v>98166.38</v>
      </c>
    </row>
    <row r="713" spans="11:11" x14ac:dyDescent="0.2">
      <c r="K713" s="116">
        <v>70543.66</v>
      </c>
    </row>
    <row r="714" spans="11:11" x14ac:dyDescent="0.2">
      <c r="K714" s="116">
        <v>216702.65</v>
      </c>
    </row>
    <row r="715" spans="11:11" x14ac:dyDescent="0.2">
      <c r="K715" s="116">
        <v>190529.07</v>
      </c>
    </row>
    <row r="716" spans="11:11" x14ac:dyDescent="0.2">
      <c r="K716" s="116">
        <v>35865.89</v>
      </c>
    </row>
    <row r="717" spans="11:11" x14ac:dyDescent="0.2">
      <c r="K717" s="116">
        <v>636316.93999999994</v>
      </c>
    </row>
    <row r="718" spans="11:11" x14ac:dyDescent="0.2">
      <c r="K718" s="116">
        <v>100371.53</v>
      </c>
    </row>
    <row r="719" spans="11:11" x14ac:dyDescent="0.2">
      <c r="K719" s="116">
        <v>60879.51</v>
      </c>
    </row>
    <row r="720" spans="11:11" x14ac:dyDescent="0.2">
      <c r="K720" s="116">
        <v>8682.6200000000008</v>
      </c>
    </row>
    <row r="721" spans="11:11" x14ac:dyDescent="0.2">
      <c r="K721" s="116">
        <v>744165.41</v>
      </c>
    </row>
    <row r="722" spans="11:11" x14ac:dyDescent="0.2">
      <c r="K722" s="116">
        <v>299550.78000000003</v>
      </c>
    </row>
    <row r="723" spans="11:11" x14ac:dyDescent="0.2">
      <c r="K723" s="116">
        <v>68947.33</v>
      </c>
    </row>
    <row r="724" spans="11:11" x14ac:dyDescent="0.2">
      <c r="K724" s="116">
        <v>66026.259999999995</v>
      </c>
    </row>
    <row r="725" spans="11:11" x14ac:dyDescent="0.2">
      <c r="K725" s="116">
        <v>32667.39</v>
      </c>
    </row>
    <row r="726" spans="11:11" x14ac:dyDescent="0.2">
      <c r="K726" s="116">
        <v>71109.84</v>
      </c>
    </row>
    <row r="727" spans="11:11" x14ac:dyDescent="0.2">
      <c r="K727" s="116">
        <v>220168.64</v>
      </c>
    </row>
    <row r="728" spans="11:11" x14ac:dyDescent="0.2">
      <c r="K728" s="116">
        <v>673721.84</v>
      </c>
    </row>
    <row r="729" spans="11:11" x14ac:dyDescent="0.2">
      <c r="K729" s="116">
        <v>1836902.56</v>
      </c>
    </row>
    <row r="730" spans="11:11" x14ac:dyDescent="0.2">
      <c r="K730" s="116">
        <v>249007.73</v>
      </c>
    </row>
    <row r="731" spans="11:11" x14ac:dyDescent="0.2">
      <c r="K731" s="116">
        <v>98163.16</v>
      </c>
    </row>
    <row r="732" spans="11:11" x14ac:dyDescent="0.2">
      <c r="K732" s="116">
        <v>113697.46</v>
      </c>
    </row>
    <row r="733" spans="11:11" x14ac:dyDescent="0.2">
      <c r="K733" s="116">
        <v>122391.58</v>
      </c>
    </row>
    <row r="734" spans="11:11" x14ac:dyDescent="0.2">
      <c r="K734" s="116">
        <v>133231.73000000001</v>
      </c>
    </row>
    <row r="735" spans="11:11" x14ac:dyDescent="0.2">
      <c r="K735" s="116">
        <v>56956.06</v>
      </c>
    </row>
    <row r="736" spans="11:11" x14ac:dyDescent="0.2">
      <c r="K736" s="116">
        <v>152107.96</v>
      </c>
    </row>
    <row r="737" spans="11:11" x14ac:dyDescent="0.2">
      <c r="K737" s="116">
        <v>335366.84000000003</v>
      </c>
    </row>
    <row r="738" spans="11:11" x14ac:dyDescent="0.2">
      <c r="K738" s="116">
        <v>306943.13</v>
      </c>
    </row>
    <row r="739" spans="11:11" x14ac:dyDescent="0.2">
      <c r="K739" s="116">
        <v>143263.4</v>
      </c>
    </row>
    <row r="740" spans="11:11" x14ac:dyDescent="0.2">
      <c r="K740" s="116">
        <v>158480.82999999999</v>
      </c>
    </row>
    <row r="741" spans="11:11" x14ac:dyDescent="0.2">
      <c r="K741" s="116">
        <v>74796.240000000005</v>
      </c>
    </row>
    <row r="742" spans="11:11" x14ac:dyDescent="0.2">
      <c r="K742" s="116">
        <v>477127.18</v>
      </c>
    </row>
    <row r="743" spans="11:11" x14ac:dyDescent="0.2">
      <c r="K743" s="116">
        <v>39453.68</v>
      </c>
    </row>
    <row r="744" spans="11:11" x14ac:dyDescent="0.2">
      <c r="K744" s="116">
        <v>93623.75</v>
      </c>
    </row>
    <row r="745" spans="11:11" x14ac:dyDescent="0.2">
      <c r="K745" s="116">
        <v>54429.48</v>
      </c>
    </row>
    <row r="746" spans="11:11" x14ac:dyDescent="0.2">
      <c r="K746" s="116">
        <v>106733.18</v>
      </c>
    </row>
    <row r="747" spans="11:11" x14ac:dyDescent="0.2">
      <c r="K747" s="116">
        <v>164183.34</v>
      </c>
    </row>
    <row r="748" spans="11:11" x14ac:dyDescent="0.2">
      <c r="K748" s="116">
        <v>50044.42</v>
      </c>
    </row>
    <row r="749" spans="11:11" x14ac:dyDescent="0.2">
      <c r="K749" s="116">
        <v>54069.64</v>
      </c>
    </row>
    <row r="750" spans="11:11" x14ac:dyDescent="0.2">
      <c r="K750" s="116">
        <v>32412.21</v>
      </c>
    </row>
    <row r="751" spans="11:11" x14ac:dyDescent="0.2">
      <c r="K751" s="116">
        <v>248677.79</v>
      </c>
    </row>
    <row r="752" spans="11:11" x14ac:dyDescent="0.2">
      <c r="K752" s="116">
        <v>140137.68</v>
      </c>
    </row>
    <row r="753" spans="11:11" x14ac:dyDescent="0.2">
      <c r="K753" s="116">
        <v>455657.31</v>
      </c>
    </row>
    <row r="754" spans="11:11" x14ac:dyDescent="0.2">
      <c r="K754" s="116">
        <v>21379.56</v>
      </c>
    </row>
    <row r="755" spans="11:11" x14ac:dyDescent="0.2">
      <c r="K755" s="116">
        <v>182033.94</v>
      </c>
    </row>
    <row r="756" spans="11:11" x14ac:dyDescent="0.2">
      <c r="K756" s="116">
        <v>122861.09</v>
      </c>
    </row>
    <row r="757" spans="11:11" x14ac:dyDescent="0.2">
      <c r="K757" s="116">
        <v>154076.63</v>
      </c>
    </row>
    <row r="758" spans="11:11" x14ac:dyDescent="0.2">
      <c r="K758" s="116">
        <v>141974.82999999999</v>
      </c>
    </row>
    <row r="759" spans="11:11" x14ac:dyDescent="0.2">
      <c r="K759" s="116">
        <v>460737.55</v>
      </c>
    </row>
    <row r="760" spans="11:11" x14ac:dyDescent="0.2">
      <c r="K760" s="116">
        <v>13300.49</v>
      </c>
    </row>
    <row r="761" spans="11:11" x14ac:dyDescent="0.2">
      <c r="K761" s="116">
        <v>65741.23</v>
      </c>
    </row>
    <row r="762" spans="11:11" x14ac:dyDescent="0.2">
      <c r="K762" s="116">
        <v>2426461.44</v>
      </c>
    </row>
    <row r="763" spans="11:11" x14ac:dyDescent="0.2">
      <c r="K763" s="116">
        <v>189247.08</v>
      </c>
    </row>
    <row r="764" spans="11:11" x14ac:dyDescent="0.2">
      <c r="K764" s="116">
        <v>62484.71</v>
      </c>
    </row>
    <row r="765" spans="11:11" x14ac:dyDescent="0.2">
      <c r="K765" s="116">
        <v>6831.14</v>
      </c>
    </row>
    <row r="766" spans="11:11" x14ac:dyDescent="0.2">
      <c r="K766" s="116">
        <v>43828.44</v>
      </c>
    </row>
    <row r="767" spans="11:11" x14ac:dyDescent="0.2">
      <c r="K767" s="116">
        <v>122588.93</v>
      </c>
    </row>
    <row r="768" spans="11:11" x14ac:dyDescent="0.2">
      <c r="K768" s="116">
        <v>61994.76</v>
      </c>
    </row>
    <row r="769" spans="11:11" x14ac:dyDescent="0.2">
      <c r="K769" s="116">
        <v>57584.58</v>
      </c>
    </row>
    <row r="770" spans="11:11" x14ac:dyDescent="0.2">
      <c r="K770" s="116">
        <v>445057.67</v>
      </c>
    </row>
    <row r="771" spans="11:11" x14ac:dyDescent="0.2">
      <c r="K771" s="116">
        <v>523942.54</v>
      </c>
    </row>
    <row r="772" spans="11:11" x14ac:dyDescent="0.2">
      <c r="K772" s="116">
        <v>88314.4</v>
      </c>
    </row>
    <row r="773" spans="11:11" x14ac:dyDescent="0.2">
      <c r="K773" s="116">
        <v>245028.23</v>
      </c>
    </row>
    <row r="774" spans="11:11" x14ac:dyDescent="0.2">
      <c r="K774" s="116">
        <v>116739.72</v>
      </c>
    </row>
    <row r="775" spans="11:11" x14ac:dyDescent="0.2">
      <c r="K775" s="116">
        <v>33518.6</v>
      </c>
    </row>
    <row r="776" spans="11:11" x14ac:dyDescent="0.2">
      <c r="K776" s="116">
        <v>110958.76</v>
      </c>
    </row>
    <row r="777" spans="11:11" x14ac:dyDescent="0.2">
      <c r="K777" s="116">
        <v>131202.34</v>
      </c>
    </row>
    <row r="778" spans="11:11" x14ac:dyDescent="0.2">
      <c r="K778" s="116">
        <v>34231.339999999997</v>
      </c>
    </row>
    <row r="779" spans="11:11" x14ac:dyDescent="0.2">
      <c r="K779" s="116">
        <v>8845.66</v>
      </c>
    </row>
    <row r="780" spans="11:11" x14ac:dyDescent="0.2">
      <c r="K780" s="116">
        <v>32945.040000000001</v>
      </c>
    </row>
    <row r="781" spans="11:11" x14ac:dyDescent="0.2">
      <c r="K781" s="116">
        <v>34713.19</v>
      </c>
    </row>
    <row r="782" spans="11:11" x14ac:dyDescent="0.2">
      <c r="K782" s="116">
        <v>121609.89</v>
      </c>
    </row>
    <row r="783" spans="11:11" x14ac:dyDescent="0.2">
      <c r="K783" s="116">
        <v>60910.94</v>
      </c>
    </row>
    <row r="784" spans="11:11" x14ac:dyDescent="0.2">
      <c r="K784" s="116">
        <v>43852.66</v>
      </c>
    </row>
    <row r="785" spans="11:11" x14ac:dyDescent="0.2">
      <c r="K785" s="116">
        <v>182037.9</v>
      </c>
    </row>
    <row r="786" spans="11:11" x14ac:dyDescent="0.2">
      <c r="K786" s="116">
        <v>36919.199999999997</v>
      </c>
    </row>
    <row r="787" spans="11:11" x14ac:dyDescent="0.2">
      <c r="K787" s="116">
        <v>366917.84</v>
      </c>
    </row>
    <row r="788" spans="11:11" x14ac:dyDescent="0.2">
      <c r="K788" s="116">
        <v>151029.82999999999</v>
      </c>
    </row>
    <row r="789" spans="11:11" x14ac:dyDescent="0.2">
      <c r="K789" s="116">
        <v>58842.2</v>
      </c>
    </row>
    <row r="790" spans="11:11" x14ac:dyDescent="0.2">
      <c r="K790" s="116">
        <v>56030.21</v>
      </c>
    </row>
    <row r="791" spans="11:11" x14ac:dyDescent="0.2">
      <c r="K791" s="116">
        <v>121682.22</v>
      </c>
    </row>
    <row r="792" spans="11:11" x14ac:dyDescent="0.2">
      <c r="K792" s="116">
        <v>74596.11</v>
      </c>
    </row>
    <row r="793" spans="11:11" x14ac:dyDescent="0.2">
      <c r="K793" s="116">
        <v>71223.600000000006</v>
      </c>
    </row>
    <row r="794" spans="11:11" x14ac:dyDescent="0.2">
      <c r="K794" s="116">
        <v>16583.740000000002</v>
      </c>
    </row>
    <row r="795" spans="11:11" x14ac:dyDescent="0.2">
      <c r="K795" s="116">
        <v>113825.49</v>
      </c>
    </row>
    <row r="796" spans="11:11" x14ac:dyDescent="0.2">
      <c r="K796" s="116">
        <v>34128.089999999997</v>
      </c>
    </row>
    <row r="797" spans="11:11" x14ac:dyDescent="0.2">
      <c r="K797" s="116">
        <v>14440.97</v>
      </c>
    </row>
    <row r="798" spans="11:11" x14ac:dyDescent="0.2">
      <c r="K798" s="116">
        <v>46679.81</v>
      </c>
    </row>
    <row r="799" spans="11:11" x14ac:dyDescent="0.2">
      <c r="K799" s="116">
        <v>65974.34</v>
      </c>
    </row>
    <row r="800" spans="11:11" x14ac:dyDescent="0.2">
      <c r="K800" s="116">
        <v>61584.32</v>
      </c>
    </row>
    <row r="801" spans="11:11" x14ac:dyDescent="0.2">
      <c r="K801" s="116">
        <v>35111.65</v>
      </c>
    </row>
    <row r="802" spans="11:11" x14ac:dyDescent="0.2">
      <c r="K802" s="116">
        <v>220098.98</v>
      </c>
    </row>
    <row r="803" spans="11:11" x14ac:dyDescent="0.2">
      <c r="K803" s="116">
        <v>869076.22</v>
      </c>
    </row>
    <row r="804" spans="11:11" x14ac:dyDescent="0.2">
      <c r="K804" s="116">
        <v>100246.37</v>
      </c>
    </row>
    <row r="805" spans="11:11" x14ac:dyDescent="0.2">
      <c r="K805" s="116">
        <v>318837.84999999998</v>
      </c>
    </row>
    <row r="806" spans="11:11" x14ac:dyDescent="0.2">
      <c r="K806" s="116">
        <v>64917.78</v>
      </c>
    </row>
    <row r="807" spans="11:11" x14ac:dyDescent="0.2">
      <c r="K807" s="116">
        <v>184020.07</v>
      </c>
    </row>
    <row r="808" spans="11:11" x14ac:dyDescent="0.2">
      <c r="K808" s="116">
        <v>918727.03</v>
      </c>
    </row>
    <row r="809" spans="11:11" x14ac:dyDescent="0.2">
      <c r="K809" s="116">
        <v>47211.39</v>
      </c>
    </row>
    <row r="810" spans="11:11" x14ac:dyDescent="0.2">
      <c r="K810" s="116">
        <v>31042.91</v>
      </c>
    </row>
    <row r="811" spans="11:11" x14ac:dyDescent="0.2">
      <c r="K811" s="116">
        <v>97161.29</v>
      </c>
    </row>
    <row r="812" spans="11:11" x14ac:dyDescent="0.2">
      <c r="K812" s="116">
        <v>375508.37</v>
      </c>
    </row>
    <row r="813" spans="11:11" x14ac:dyDescent="0.2">
      <c r="K813" s="116">
        <v>124889.19</v>
      </c>
    </row>
    <row r="814" spans="11:11" x14ac:dyDescent="0.2">
      <c r="K814" s="116">
        <v>33388.92</v>
      </c>
    </row>
    <row r="815" spans="11:11" x14ac:dyDescent="0.2">
      <c r="K815" s="116">
        <v>70165.649999999994</v>
      </c>
    </row>
    <row r="816" spans="11:11" x14ac:dyDescent="0.2">
      <c r="K816" s="116">
        <v>146298.09</v>
      </c>
    </row>
    <row r="817" spans="11:11" x14ac:dyDescent="0.2">
      <c r="K817" s="116">
        <v>21887.73</v>
      </c>
    </row>
    <row r="818" spans="11:11" x14ac:dyDescent="0.2">
      <c r="K818" s="116">
        <v>52325.69</v>
      </c>
    </row>
    <row r="819" spans="11:11" x14ac:dyDescent="0.2">
      <c r="K819" s="116">
        <v>230655.64</v>
      </c>
    </row>
    <row r="820" spans="11:11" x14ac:dyDescent="0.2">
      <c r="K820" s="116">
        <v>262454.42</v>
      </c>
    </row>
    <row r="821" spans="11:11" x14ac:dyDescent="0.2">
      <c r="K821" s="116">
        <v>102041.48</v>
      </c>
    </row>
    <row r="822" spans="11:11" x14ac:dyDescent="0.2">
      <c r="K822" s="116">
        <v>567789.34</v>
      </c>
    </row>
    <row r="823" spans="11:11" x14ac:dyDescent="0.2">
      <c r="K823" s="116">
        <v>252433.2</v>
      </c>
    </row>
    <row r="824" spans="11:11" x14ac:dyDescent="0.2">
      <c r="K824" s="116">
        <v>45299.040000000001</v>
      </c>
    </row>
    <row r="825" spans="11:11" x14ac:dyDescent="0.2">
      <c r="K825" s="116">
        <v>143349.39000000001</v>
      </c>
    </row>
    <row r="826" spans="11:11" x14ac:dyDescent="0.2">
      <c r="K826" s="116">
        <v>52202.36</v>
      </c>
    </row>
    <row r="827" spans="11:11" x14ac:dyDescent="0.2">
      <c r="K827" s="116">
        <v>19024.62</v>
      </c>
    </row>
    <row r="828" spans="11:11" x14ac:dyDescent="0.2">
      <c r="K828" s="116">
        <v>135008.20000000001</v>
      </c>
    </row>
    <row r="829" spans="11:11" x14ac:dyDescent="0.2">
      <c r="K829" s="116">
        <v>113851.99</v>
      </c>
    </row>
    <row r="830" spans="11:11" x14ac:dyDescent="0.2">
      <c r="K830" s="116">
        <v>37168.160000000003</v>
      </c>
    </row>
    <row r="831" spans="11:11" x14ac:dyDescent="0.2">
      <c r="K831" s="116">
        <v>486273.48</v>
      </c>
    </row>
    <row r="832" spans="11:11" x14ac:dyDescent="0.2">
      <c r="K832" s="116">
        <v>191067.2</v>
      </c>
    </row>
    <row r="833" spans="11:11" x14ac:dyDescent="0.2">
      <c r="K833" s="116">
        <v>110647.03999999999</v>
      </c>
    </row>
    <row r="834" spans="11:11" x14ac:dyDescent="0.2">
      <c r="K834" s="116">
        <v>140641.51999999999</v>
      </c>
    </row>
    <row r="835" spans="11:11" x14ac:dyDescent="0.2">
      <c r="K835" s="116">
        <v>339784.12</v>
      </c>
    </row>
    <row r="836" spans="11:11" x14ac:dyDescent="0.2">
      <c r="K836" s="116">
        <v>451794.2</v>
      </c>
    </row>
    <row r="837" spans="11:11" x14ac:dyDescent="0.2">
      <c r="K837" s="116">
        <v>45510.31</v>
      </c>
    </row>
    <row r="838" spans="11:11" x14ac:dyDescent="0.2">
      <c r="K838" s="116">
        <v>90240.75</v>
      </c>
    </row>
    <row r="839" spans="11:11" x14ac:dyDescent="0.2">
      <c r="K839" s="116">
        <v>16229.27</v>
      </c>
    </row>
    <row r="840" spans="11:11" x14ac:dyDescent="0.2">
      <c r="K840" s="116">
        <v>484998.43</v>
      </c>
    </row>
    <row r="841" spans="11:11" x14ac:dyDescent="0.2">
      <c r="K841" s="116">
        <v>76181.17</v>
      </c>
    </row>
    <row r="842" spans="11:11" x14ac:dyDescent="0.2">
      <c r="K842" s="116">
        <v>121232.39</v>
      </c>
    </row>
    <row r="843" spans="11:11" x14ac:dyDescent="0.2">
      <c r="K843" s="116">
        <v>339420.67</v>
      </c>
    </row>
    <row r="844" spans="11:11" x14ac:dyDescent="0.2">
      <c r="K844" s="116">
        <v>203073.06</v>
      </c>
    </row>
    <row r="845" spans="11:11" x14ac:dyDescent="0.2">
      <c r="K845" s="116">
        <v>24215.25</v>
      </c>
    </row>
    <row r="846" spans="11:11" x14ac:dyDescent="0.2">
      <c r="K846" s="116">
        <v>134518.85999999999</v>
      </c>
    </row>
    <row r="847" spans="11:11" x14ac:dyDescent="0.2">
      <c r="K847" s="116">
        <v>94567.19</v>
      </c>
    </row>
    <row r="848" spans="11:11" x14ac:dyDescent="0.2">
      <c r="K848" s="116">
        <v>110808.08</v>
      </c>
    </row>
    <row r="849" spans="11:11" x14ac:dyDescent="0.2">
      <c r="K849" s="116">
        <v>204971.94</v>
      </c>
    </row>
    <row r="850" spans="11:11" x14ac:dyDescent="0.2">
      <c r="K850" s="116">
        <v>217670.06</v>
      </c>
    </row>
    <row r="851" spans="11:11" x14ac:dyDescent="0.2">
      <c r="K851" s="116">
        <v>297109.95</v>
      </c>
    </row>
    <row r="852" spans="11:11" x14ac:dyDescent="0.2">
      <c r="K852" s="116">
        <v>474680.13</v>
      </c>
    </row>
    <row r="853" spans="11:11" x14ac:dyDescent="0.2">
      <c r="K853" s="116">
        <v>13770.09</v>
      </c>
    </row>
    <row r="854" spans="11:11" x14ac:dyDescent="0.2">
      <c r="K854" s="116">
        <v>267989.74</v>
      </c>
    </row>
    <row r="855" spans="11:11" x14ac:dyDescent="0.2">
      <c r="K855" s="116">
        <v>13861.88</v>
      </c>
    </row>
    <row r="856" spans="11:11" x14ac:dyDescent="0.2">
      <c r="K856" s="116">
        <v>202024.02</v>
      </c>
    </row>
    <row r="857" spans="11:11" x14ac:dyDescent="0.2">
      <c r="K857" s="116">
        <v>134213.88</v>
      </c>
    </row>
    <row r="858" spans="11:11" x14ac:dyDescent="0.2">
      <c r="K858" s="116">
        <v>131111.93</v>
      </c>
    </row>
    <row r="859" spans="11:11" x14ac:dyDescent="0.2">
      <c r="K859" s="116">
        <v>314387.64</v>
      </c>
    </row>
    <row r="860" spans="11:11" x14ac:dyDescent="0.2">
      <c r="K860" s="116">
        <v>269657.88</v>
      </c>
    </row>
    <row r="861" spans="11:11" x14ac:dyDescent="0.2">
      <c r="K861" s="116">
        <v>45034.91</v>
      </c>
    </row>
    <row r="862" spans="11:11" x14ac:dyDescent="0.2">
      <c r="K862" s="116">
        <v>47837.45</v>
      </c>
    </row>
    <row r="863" spans="11:11" x14ac:dyDescent="0.2">
      <c r="K863" s="116">
        <v>68278.649999999994</v>
      </c>
    </row>
    <row r="864" spans="11:11" x14ac:dyDescent="0.2">
      <c r="K864" s="116">
        <v>152725.1</v>
      </c>
    </row>
    <row r="865" spans="11:11" x14ac:dyDescent="0.2">
      <c r="K865" s="116">
        <v>127891.39</v>
      </c>
    </row>
    <row r="866" spans="11:11" x14ac:dyDescent="0.2">
      <c r="K866" s="116">
        <v>99524.01</v>
      </c>
    </row>
    <row r="867" spans="11:11" x14ac:dyDescent="0.2">
      <c r="K867" s="116">
        <v>39526.370000000003</v>
      </c>
    </row>
    <row r="868" spans="11:11" x14ac:dyDescent="0.2">
      <c r="K868" s="116">
        <v>83257.64</v>
      </c>
    </row>
    <row r="869" spans="11:11" x14ac:dyDescent="0.2">
      <c r="K869" s="116">
        <v>31632.25</v>
      </c>
    </row>
    <row r="870" spans="11:11" x14ac:dyDescent="0.2">
      <c r="K870" s="116">
        <v>340664.79</v>
      </c>
    </row>
    <row r="871" spans="11:11" x14ac:dyDescent="0.2">
      <c r="K871" s="116">
        <v>301517.55</v>
      </c>
    </row>
    <row r="872" spans="11:11" x14ac:dyDescent="0.2">
      <c r="K872" s="116">
        <v>208159.69</v>
      </c>
    </row>
    <row r="873" spans="11:11" x14ac:dyDescent="0.2">
      <c r="K873" s="116">
        <v>32105.51</v>
      </c>
    </row>
    <row r="874" spans="11:11" x14ac:dyDescent="0.2">
      <c r="K874" s="116">
        <v>234057.79</v>
      </c>
    </row>
    <row r="875" spans="11:11" x14ac:dyDescent="0.2">
      <c r="K875" s="116">
        <v>32302.45</v>
      </c>
    </row>
    <row r="876" spans="11:11" x14ac:dyDescent="0.2">
      <c r="K876" s="116">
        <v>146479.72</v>
      </c>
    </row>
    <row r="877" spans="11:11" x14ac:dyDescent="0.2">
      <c r="K877" s="116">
        <v>67904.789999999994</v>
      </c>
    </row>
    <row r="878" spans="11:11" x14ac:dyDescent="0.2">
      <c r="K878" s="116">
        <v>91322.89</v>
      </c>
    </row>
    <row r="879" spans="11:11" x14ac:dyDescent="0.2">
      <c r="K879" s="116">
        <v>53958.720000000001</v>
      </c>
    </row>
    <row r="880" spans="11:11" x14ac:dyDescent="0.2">
      <c r="K880" s="116">
        <v>32756.51</v>
      </c>
    </row>
    <row r="881" spans="11:11" x14ac:dyDescent="0.2">
      <c r="K881" s="116">
        <v>68609.509999999995</v>
      </c>
    </row>
    <row r="882" spans="11:11" x14ac:dyDescent="0.2">
      <c r="K882" s="116">
        <v>182391.37</v>
      </c>
    </row>
    <row r="883" spans="11:11" x14ac:dyDescent="0.2">
      <c r="K883" s="116">
        <v>72314.509999999995</v>
      </c>
    </row>
    <row r="884" spans="11:11" x14ac:dyDescent="0.2">
      <c r="K884" s="116">
        <v>125836.79</v>
      </c>
    </row>
    <row r="885" spans="11:11" x14ac:dyDescent="0.2">
      <c r="K885" s="116">
        <v>24791.62</v>
      </c>
    </row>
    <row r="886" spans="11:11" x14ac:dyDescent="0.2">
      <c r="K886" s="116">
        <v>11160.67</v>
      </c>
    </row>
    <row r="887" spans="11:11" x14ac:dyDescent="0.2">
      <c r="K887" s="116">
        <v>96715.12</v>
      </c>
    </row>
    <row r="888" spans="11:11" x14ac:dyDescent="0.2">
      <c r="K888" s="116">
        <v>9592.36</v>
      </c>
    </row>
    <row r="889" spans="11:11" x14ac:dyDescent="0.2">
      <c r="K889" s="116">
        <v>35569.629999999997</v>
      </c>
    </row>
    <row r="890" spans="11:11" x14ac:dyDescent="0.2">
      <c r="K890" s="116">
        <v>12952.21</v>
      </c>
    </row>
    <row r="891" spans="11:11" x14ac:dyDescent="0.2">
      <c r="K891" s="116">
        <v>55058.76</v>
      </c>
    </row>
    <row r="892" spans="11:11" x14ac:dyDescent="0.2">
      <c r="K892" s="116">
        <v>540891.86</v>
      </c>
    </row>
    <row r="893" spans="11:11" x14ac:dyDescent="0.2">
      <c r="K893" s="116">
        <v>239003.59</v>
      </c>
    </row>
    <row r="894" spans="11:11" x14ac:dyDescent="0.2">
      <c r="K894" s="116">
        <v>27636.67</v>
      </c>
    </row>
    <row r="895" spans="11:11" x14ac:dyDescent="0.2">
      <c r="K895" s="116">
        <v>89152.39</v>
      </c>
    </row>
    <row r="896" spans="11:11" x14ac:dyDescent="0.2">
      <c r="K896" s="116">
        <v>412854.19</v>
      </c>
    </row>
    <row r="897" spans="11:11" x14ac:dyDescent="0.2">
      <c r="K897" s="116">
        <v>274709.5</v>
      </c>
    </row>
    <row r="898" spans="11:11" x14ac:dyDescent="0.2">
      <c r="K898" s="116">
        <v>277061.44</v>
      </c>
    </row>
    <row r="899" spans="11:11" x14ac:dyDescent="0.2">
      <c r="K899" s="116">
        <v>117062.38</v>
      </c>
    </row>
    <row r="900" spans="11:11" x14ac:dyDescent="0.2">
      <c r="K900" s="116">
        <v>637188.12</v>
      </c>
    </row>
    <row r="901" spans="11:11" x14ac:dyDescent="0.2">
      <c r="K901" s="116">
        <v>718994.59</v>
      </c>
    </row>
    <row r="902" spans="11:11" x14ac:dyDescent="0.2">
      <c r="K902" s="116">
        <v>85316.71</v>
      </c>
    </row>
    <row r="903" spans="11:11" x14ac:dyDescent="0.2">
      <c r="K903" s="116">
        <v>30858.54</v>
      </c>
    </row>
    <row r="904" spans="11:11" x14ac:dyDescent="0.2">
      <c r="K904" s="116">
        <v>162702.29</v>
      </c>
    </row>
    <row r="905" spans="11:11" x14ac:dyDescent="0.2">
      <c r="K905" s="116">
        <v>21804.33</v>
      </c>
    </row>
    <row r="906" spans="11:11" x14ac:dyDescent="0.2">
      <c r="K906" s="116">
        <v>132622.34</v>
      </c>
    </row>
    <row r="907" spans="11:11" x14ac:dyDescent="0.2">
      <c r="K907" s="116">
        <v>23025.78</v>
      </c>
    </row>
    <row r="908" spans="11:11" x14ac:dyDescent="0.2">
      <c r="K908" s="116">
        <v>172365.72</v>
      </c>
    </row>
    <row r="909" spans="11:11" x14ac:dyDescent="0.2">
      <c r="K909" s="116">
        <v>109532.4</v>
      </c>
    </row>
    <row r="910" spans="11:11" x14ac:dyDescent="0.2">
      <c r="K910" s="116">
        <v>24997.25</v>
      </c>
    </row>
    <row r="911" spans="11:11" x14ac:dyDescent="0.2">
      <c r="K911" s="116">
        <v>14432.71</v>
      </c>
    </row>
    <row r="912" spans="11:11" x14ac:dyDescent="0.2">
      <c r="K912" s="116">
        <v>40772.31</v>
      </c>
    </row>
    <row r="913" spans="11:11" x14ac:dyDescent="0.2">
      <c r="K913" s="116">
        <v>128552.23</v>
      </c>
    </row>
    <row r="914" spans="11:11" x14ac:dyDescent="0.2">
      <c r="K914" s="116">
        <v>23214.799999999999</v>
      </c>
    </row>
    <row r="915" spans="11:11" x14ac:dyDescent="0.2">
      <c r="K915" s="116">
        <v>23337.89</v>
      </c>
    </row>
    <row r="916" spans="11:11" x14ac:dyDescent="0.2">
      <c r="K916" s="116">
        <v>206253.87</v>
      </c>
    </row>
    <row r="917" spans="11:11" x14ac:dyDescent="0.2">
      <c r="K917" s="116">
        <v>121802.3</v>
      </c>
    </row>
    <row r="918" spans="11:11" x14ac:dyDescent="0.2">
      <c r="K918" s="116">
        <v>180154.35</v>
      </c>
    </row>
    <row r="919" spans="11:11" x14ac:dyDescent="0.2">
      <c r="K919" s="116">
        <v>100553.88</v>
      </c>
    </row>
    <row r="920" spans="11:11" x14ac:dyDescent="0.2">
      <c r="K920" s="116">
        <v>84379.41</v>
      </c>
    </row>
    <row r="921" spans="11:11" x14ac:dyDescent="0.2">
      <c r="K921" s="116">
        <v>156183.29999999999</v>
      </c>
    </row>
    <row r="922" spans="11:11" x14ac:dyDescent="0.2">
      <c r="K922" s="116">
        <v>267862.68</v>
      </c>
    </row>
    <row r="923" spans="11:11" x14ac:dyDescent="0.2">
      <c r="K923" s="116">
        <v>64427.66</v>
      </c>
    </row>
    <row r="924" spans="11:11" x14ac:dyDescent="0.2">
      <c r="K924" s="116">
        <v>72052.05</v>
      </c>
    </row>
    <row r="925" spans="11:11" x14ac:dyDescent="0.2">
      <c r="K925" s="116">
        <v>121878.44</v>
      </c>
    </row>
    <row r="926" spans="11:11" x14ac:dyDescent="0.2">
      <c r="K926" s="116">
        <v>80772.289999999994</v>
      </c>
    </row>
    <row r="927" spans="11:11" x14ac:dyDescent="0.2">
      <c r="K927" s="116">
        <v>61891.14</v>
      </c>
    </row>
    <row r="928" spans="11:11" x14ac:dyDescent="0.2">
      <c r="K928" s="116">
        <v>322510.69</v>
      </c>
    </row>
    <row r="929" spans="11:11" x14ac:dyDescent="0.2">
      <c r="K929" s="116">
        <v>82198.990000000005</v>
      </c>
    </row>
    <row r="930" spans="11:11" x14ac:dyDescent="0.2">
      <c r="K930" s="116">
        <v>52040.79</v>
      </c>
    </row>
    <row r="931" spans="11:11" x14ac:dyDescent="0.2">
      <c r="K931" s="116">
        <v>210301.06</v>
      </c>
    </row>
    <row r="932" spans="11:11" x14ac:dyDescent="0.2">
      <c r="K932" s="116">
        <v>55115.15</v>
      </c>
    </row>
    <row r="933" spans="11:11" x14ac:dyDescent="0.2">
      <c r="K933" s="116">
        <v>407970.69</v>
      </c>
    </row>
    <row r="934" spans="11:11" x14ac:dyDescent="0.2">
      <c r="K934" s="116">
        <v>251685.76000000001</v>
      </c>
    </row>
    <row r="935" spans="11:11" x14ac:dyDescent="0.2">
      <c r="K935" s="116">
        <v>802647.48</v>
      </c>
    </row>
    <row r="936" spans="11:11" x14ac:dyDescent="0.2">
      <c r="K936" s="116">
        <v>43923.040000000001</v>
      </c>
    </row>
    <row r="937" spans="11:11" x14ac:dyDescent="0.2">
      <c r="K937" s="116">
        <v>84979.42</v>
      </c>
    </row>
    <row r="938" spans="11:11" x14ac:dyDescent="0.2">
      <c r="K938" s="116">
        <v>15066.11</v>
      </c>
    </row>
    <row r="939" spans="11:11" x14ac:dyDescent="0.2">
      <c r="K939" s="116">
        <v>109542.99</v>
      </c>
    </row>
    <row r="940" spans="11:11" x14ac:dyDescent="0.2">
      <c r="K940" s="116">
        <v>181412.18</v>
      </c>
    </row>
    <row r="941" spans="11:11" x14ac:dyDescent="0.2">
      <c r="K941" s="116">
        <v>25059.15</v>
      </c>
    </row>
    <row r="942" spans="11:11" x14ac:dyDescent="0.2">
      <c r="K942" s="116">
        <v>48061.99</v>
      </c>
    </row>
    <row r="943" spans="11:11" x14ac:dyDescent="0.2">
      <c r="K943" s="116">
        <v>631385.86</v>
      </c>
    </row>
    <row r="944" spans="11:11" x14ac:dyDescent="0.2">
      <c r="K944" s="116">
        <v>20765.98</v>
      </c>
    </row>
    <row r="945" spans="11:11" x14ac:dyDescent="0.2">
      <c r="K945" s="116">
        <v>229033.21</v>
      </c>
    </row>
    <row r="946" spans="11:11" x14ac:dyDescent="0.2">
      <c r="K946" s="116">
        <v>115336.7</v>
      </c>
    </row>
    <row r="947" spans="11:11" x14ac:dyDescent="0.2">
      <c r="K947" s="116">
        <v>122509.24</v>
      </c>
    </row>
    <row r="948" spans="11:11" x14ac:dyDescent="0.2">
      <c r="K948" s="116">
        <v>137274.35999999999</v>
      </c>
    </row>
    <row r="949" spans="11:11" x14ac:dyDescent="0.2">
      <c r="K949" s="116">
        <v>171223.14</v>
      </c>
    </row>
    <row r="950" spans="11:11" x14ac:dyDescent="0.2">
      <c r="K950" s="116">
        <v>29949.57</v>
      </c>
    </row>
    <row r="951" spans="11:11" x14ac:dyDescent="0.2">
      <c r="K951" s="116">
        <v>28388.46</v>
      </c>
    </row>
    <row r="952" spans="11:11" x14ac:dyDescent="0.2">
      <c r="K952" s="116">
        <v>262508.68</v>
      </c>
    </row>
    <row r="953" spans="11:11" x14ac:dyDescent="0.2">
      <c r="K953" s="116">
        <v>64769.75</v>
      </c>
    </row>
    <row r="954" spans="11:11" x14ac:dyDescent="0.2">
      <c r="K954" s="116">
        <v>255479.69</v>
      </c>
    </row>
    <row r="955" spans="11:11" x14ac:dyDescent="0.2">
      <c r="K955" s="116">
        <v>221813.71</v>
      </c>
    </row>
    <row r="956" spans="11:11" x14ac:dyDescent="0.2">
      <c r="K956" s="116">
        <v>654842.98</v>
      </c>
    </row>
    <row r="957" spans="11:11" x14ac:dyDescent="0.2">
      <c r="K957" s="116">
        <v>52586.35</v>
      </c>
    </row>
    <row r="958" spans="11:11" x14ac:dyDescent="0.2">
      <c r="K958" s="116">
        <v>55807.92</v>
      </c>
    </row>
    <row r="959" spans="11:11" x14ac:dyDescent="0.2">
      <c r="K959" s="116">
        <v>372848.54</v>
      </c>
    </row>
    <row r="960" spans="11:11" x14ac:dyDescent="0.2">
      <c r="K960" s="116">
        <v>75924.289999999994</v>
      </c>
    </row>
    <row r="961" spans="11:11" x14ac:dyDescent="0.2">
      <c r="K961" s="116">
        <v>46086.45</v>
      </c>
    </row>
    <row r="962" spans="11:11" x14ac:dyDescent="0.2">
      <c r="K962" s="116">
        <v>324243.21999999997</v>
      </c>
    </row>
    <row r="963" spans="11:11" x14ac:dyDescent="0.2">
      <c r="K963" s="116">
        <v>111088.92</v>
      </c>
    </row>
    <row r="964" spans="11:11" x14ac:dyDescent="0.2">
      <c r="K964" s="116">
        <v>41880.160000000003</v>
      </c>
    </row>
    <row r="965" spans="11:11" x14ac:dyDescent="0.2">
      <c r="K965" s="116">
        <v>98310.06</v>
      </c>
    </row>
    <row r="966" spans="11:11" x14ac:dyDescent="0.2">
      <c r="K966" s="116">
        <v>80983.77</v>
      </c>
    </row>
    <row r="967" spans="11:11" x14ac:dyDescent="0.2">
      <c r="K967" s="116">
        <v>162061.71</v>
      </c>
    </row>
    <row r="968" spans="11:11" x14ac:dyDescent="0.2">
      <c r="K968" s="116">
        <v>13812.91</v>
      </c>
    </row>
    <row r="969" spans="11:11" x14ac:dyDescent="0.2">
      <c r="K969" s="116">
        <v>46345.25</v>
      </c>
    </row>
    <row r="970" spans="11:11" x14ac:dyDescent="0.2">
      <c r="K970" s="116">
        <v>60559.88</v>
      </c>
    </row>
    <row r="971" spans="11:11" x14ac:dyDescent="0.2">
      <c r="K971" s="116">
        <v>193627.2</v>
      </c>
    </row>
    <row r="972" spans="11:11" x14ac:dyDescent="0.2">
      <c r="K972" s="116">
        <v>384760.47</v>
      </c>
    </row>
    <row r="973" spans="11:11" x14ac:dyDescent="0.2">
      <c r="K973" s="116">
        <v>661196.98</v>
      </c>
    </row>
    <row r="974" spans="11:11" x14ac:dyDescent="0.2">
      <c r="K974" s="116">
        <v>87541.14</v>
      </c>
    </row>
    <row r="975" spans="11:11" x14ac:dyDescent="0.2">
      <c r="K975" s="116">
        <v>432221.13</v>
      </c>
    </row>
    <row r="976" spans="11:11" x14ac:dyDescent="0.2">
      <c r="K976" s="116">
        <v>53020.52</v>
      </c>
    </row>
    <row r="977" spans="11:11" x14ac:dyDescent="0.2">
      <c r="K977" s="116">
        <v>56047.15</v>
      </c>
    </row>
    <row r="978" spans="11:11" x14ac:dyDescent="0.2">
      <c r="K978" s="116">
        <v>11716.35</v>
      </c>
    </row>
    <row r="979" spans="11:11" x14ac:dyDescent="0.2">
      <c r="K979" s="116">
        <v>79815.679999999993</v>
      </c>
    </row>
    <row r="980" spans="11:11" x14ac:dyDescent="0.2">
      <c r="K980" s="116">
        <v>189943.73</v>
      </c>
    </row>
    <row r="981" spans="11:11" x14ac:dyDescent="0.2">
      <c r="K981" s="116">
        <v>94557.73</v>
      </c>
    </row>
    <row r="982" spans="11:11" x14ac:dyDescent="0.2">
      <c r="K982" s="116">
        <v>305113.92</v>
      </c>
    </row>
    <row r="983" spans="11:11" x14ac:dyDescent="0.2">
      <c r="K983" s="116">
        <v>262070.39</v>
      </c>
    </row>
    <row r="984" spans="11:11" x14ac:dyDescent="0.2">
      <c r="K984" s="116">
        <v>170402.65</v>
      </c>
    </row>
    <row r="985" spans="11:11" x14ac:dyDescent="0.2">
      <c r="K985" s="116">
        <v>924988.08</v>
      </c>
    </row>
    <row r="986" spans="11:11" x14ac:dyDescent="0.2">
      <c r="K986" s="116">
        <v>86744.69</v>
      </c>
    </row>
    <row r="987" spans="11:11" x14ac:dyDescent="0.2">
      <c r="K987" s="116">
        <v>124163.16</v>
      </c>
    </row>
    <row r="988" spans="11:11" x14ac:dyDescent="0.2">
      <c r="K988" s="116">
        <v>76281.56</v>
      </c>
    </row>
    <row r="989" spans="11:11" x14ac:dyDescent="0.2">
      <c r="K989" s="116">
        <v>23521.01</v>
      </c>
    </row>
    <row r="990" spans="11:11" x14ac:dyDescent="0.2">
      <c r="K990" s="116">
        <v>106272.19</v>
      </c>
    </row>
    <row r="991" spans="11:11" x14ac:dyDescent="0.2">
      <c r="K991" s="116">
        <v>32764.33</v>
      </c>
    </row>
    <row r="992" spans="11:11" x14ac:dyDescent="0.2">
      <c r="K992" s="116">
        <v>92594.93</v>
      </c>
    </row>
    <row r="993" spans="11:11" x14ac:dyDescent="0.2">
      <c r="K993" s="116">
        <v>44138.75</v>
      </c>
    </row>
    <row r="994" spans="11:11" x14ac:dyDescent="0.2">
      <c r="K994" s="116">
        <v>55816.76</v>
      </c>
    </row>
    <row r="995" spans="11:11" x14ac:dyDescent="0.2">
      <c r="K995" s="116">
        <v>83704.42</v>
      </c>
    </row>
    <row r="996" spans="11:11" x14ac:dyDescent="0.2">
      <c r="K996" s="116">
        <v>140707.65</v>
      </c>
    </row>
    <row r="997" spans="11:11" x14ac:dyDescent="0.2">
      <c r="K997" s="116">
        <v>137179.41</v>
      </c>
    </row>
    <row r="998" spans="11:11" x14ac:dyDescent="0.2">
      <c r="K998" s="116">
        <v>29251.279999999999</v>
      </c>
    </row>
    <row r="999" spans="11:11" x14ac:dyDescent="0.2">
      <c r="K999" s="116">
        <v>188725.76000000001</v>
      </c>
    </row>
    <row r="1000" spans="11:11" x14ac:dyDescent="0.2">
      <c r="K1000" s="116">
        <v>156523.82</v>
      </c>
    </row>
    <row r="1001" spans="11:11" x14ac:dyDescent="0.2">
      <c r="K1001" s="116">
        <v>17640.29</v>
      </c>
    </row>
    <row r="1002" spans="11:11" x14ac:dyDescent="0.2">
      <c r="K1002" s="116">
        <v>34454.769999999997</v>
      </c>
    </row>
    <row r="1003" spans="11:11" x14ac:dyDescent="0.2">
      <c r="K1003" s="116">
        <v>123884.1</v>
      </c>
    </row>
    <row r="1004" spans="11:11" x14ac:dyDescent="0.2">
      <c r="K1004" s="116">
        <v>395756.43</v>
      </c>
    </row>
    <row r="1005" spans="11:11" x14ac:dyDescent="0.2">
      <c r="K1005" s="116">
        <v>76464.28</v>
      </c>
    </row>
    <row r="1006" spans="11:11" x14ac:dyDescent="0.2">
      <c r="K1006" s="116">
        <v>99569.68</v>
      </c>
    </row>
    <row r="1007" spans="11:11" x14ac:dyDescent="0.2">
      <c r="K1007" s="116">
        <v>119605.68</v>
      </c>
    </row>
    <row r="1008" spans="11:11" x14ac:dyDescent="0.2">
      <c r="K1008" s="116">
        <v>32346.7</v>
      </c>
    </row>
    <row r="1009" spans="11:11" x14ac:dyDescent="0.2">
      <c r="K1009" s="116">
        <v>43439.83</v>
      </c>
    </row>
    <row r="1010" spans="11:11" x14ac:dyDescent="0.2">
      <c r="K1010" s="116">
        <v>28051.59</v>
      </c>
    </row>
    <row r="1011" spans="11:11" x14ac:dyDescent="0.2">
      <c r="K1011" s="116">
        <v>95560.97</v>
      </c>
    </row>
    <row r="1012" spans="11:11" x14ac:dyDescent="0.2">
      <c r="K1012" s="116">
        <v>74930.77</v>
      </c>
    </row>
    <row r="1013" spans="11:11" x14ac:dyDescent="0.2">
      <c r="K1013" s="116">
        <v>309541.39</v>
      </c>
    </row>
    <row r="1014" spans="11:11" x14ac:dyDescent="0.2">
      <c r="K1014" s="116">
        <v>182759.26</v>
      </c>
    </row>
    <row r="1015" spans="11:11" x14ac:dyDescent="0.2">
      <c r="K1015" s="116">
        <v>791810.69</v>
      </c>
    </row>
    <row r="1016" spans="11:11" x14ac:dyDescent="0.2">
      <c r="K1016" s="116">
        <v>64509.93</v>
      </c>
    </row>
    <row r="1017" spans="11:11" x14ac:dyDescent="0.2">
      <c r="K1017" s="116">
        <v>56659.46</v>
      </c>
    </row>
    <row r="1018" spans="11:11" x14ac:dyDescent="0.2">
      <c r="K1018" s="116"/>
    </row>
    <row r="1019" spans="11:11" x14ac:dyDescent="0.2">
      <c r="K1019" s="116"/>
    </row>
    <row r="1020" spans="11:11" x14ac:dyDescent="0.2">
      <c r="K1020" s="116"/>
    </row>
  </sheetData>
  <pageMargins left="0.7" right="0.7" top="0.75" bottom="0.75" header="0.3" footer="0.3"/>
  <ignoredErrors>
    <ignoredError sqref="D11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5.MonteCarlo">
                <anchor moveWithCells="1" sizeWithCells="1">
                  <from>
                    <xdr:col>7</xdr:col>
                    <xdr:colOff>114300</xdr:colOff>
                    <xdr:row>9</xdr:row>
                    <xdr:rowOff>76200</xdr:rowOff>
                  </from>
                  <to>
                    <xdr:col>9</xdr:col>
                    <xdr:colOff>88900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O93"/>
  <sheetViews>
    <sheetView workbookViewId="0">
      <selection activeCell="O8" sqref="O8"/>
    </sheetView>
  </sheetViews>
  <sheetFormatPr baseColWidth="10" defaultColWidth="8.83203125" defaultRowHeight="15" x14ac:dyDescent="0.2"/>
  <cols>
    <col min="1" max="1" width="17" style="50" customWidth="1"/>
    <col min="2" max="16384" width="8.83203125" style="50"/>
  </cols>
  <sheetData>
    <row r="1" spans="1:15" ht="16" x14ac:dyDescent="0.2">
      <c r="A1" s="48" t="s">
        <v>29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5" x14ac:dyDescent="0.2">
      <c r="A2" s="51"/>
      <c r="B2" s="51" t="s">
        <v>30</v>
      </c>
      <c r="C2" s="51" t="s">
        <v>31</v>
      </c>
      <c r="D2" s="51" t="s">
        <v>32</v>
      </c>
      <c r="E2" s="51" t="s">
        <v>33</v>
      </c>
      <c r="F2" s="51" t="s">
        <v>34</v>
      </c>
      <c r="G2" s="51" t="s">
        <v>35</v>
      </c>
      <c r="H2" s="51" t="s">
        <v>36</v>
      </c>
      <c r="I2" s="51" t="s">
        <v>37</v>
      </c>
      <c r="J2" s="51" t="s">
        <v>38</v>
      </c>
      <c r="K2" s="51" t="s">
        <v>39</v>
      </c>
      <c r="L2" s="52" t="s">
        <v>40</v>
      </c>
      <c r="M2" s="53"/>
    </row>
    <row r="3" spans="1:15" x14ac:dyDescent="0.2">
      <c r="A3" s="54" t="s">
        <v>41</v>
      </c>
      <c r="B3" s="55">
        <v>0.20519185414377</v>
      </c>
      <c r="C3" s="55">
        <v>0.11205351964790755</v>
      </c>
      <c r="D3" s="55">
        <v>-1.3042042296563236E-2</v>
      </c>
      <c r="E3" s="55">
        <v>8.790078060518107E-2</v>
      </c>
      <c r="F3" s="55">
        <v>0.20519185414377</v>
      </c>
      <c r="G3" s="55">
        <v>0.25143903929462835</v>
      </c>
      <c r="H3" s="55">
        <v>0.14464082667722811</v>
      </c>
      <c r="I3" s="55">
        <v>7.0450064736291507E-2</v>
      </c>
      <c r="J3" s="55">
        <v>1.0083511242981248E-2</v>
      </c>
      <c r="K3" s="55">
        <v>5.9642477513494038E-2</v>
      </c>
      <c r="L3" s="56">
        <f>SUMPRODUCT(B3:K3,B5:K5)</f>
        <v>0.11335518857086886</v>
      </c>
      <c r="M3" s="49"/>
      <c r="O3" s="50" t="s">
        <v>53</v>
      </c>
    </row>
    <row r="4" spans="1:15" x14ac:dyDescent="0.2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7" t="s">
        <v>42</v>
      </c>
      <c r="M4" s="53" t="s">
        <v>43</v>
      </c>
      <c r="O4" s="50" t="s">
        <v>54</v>
      </c>
    </row>
    <row r="5" spans="1:15" x14ac:dyDescent="0.2">
      <c r="A5" s="51" t="s">
        <v>44</v>
      </c>
      <c r="B5" s="100">
        <v>0.1</v>
      </c>
      <c r="C5" s="101">
        <v>0.1</v>
      </c>
      <c r="D5" s="101">
        <v>0.1</v>
      </c>
      <c r="E5" s="101">
        <v>0.1</v>
      </c>
      <c r="F5" s="101">
        <v>0.1</v>
      </c>
      <c r="G5" s="101">
        <v>0.1</v>
      </c>
      <c r="H5" s="101">
        <v>0.1</v>
      </c>
      <c r="I5" s="101">
        <v>0.1</v>
      </c>
      <c r="J5" s="101">
        <v>0.1</v>
      </c>
      <c r="K5" s="102">
        <v>0.1</v>
      </c>
      <c r="L5" s="99">
        <f>SQRT(A23)</f>
        <v>0.28804940595444262</v>
      </c>
      <c r="M5" s="58">
        <f>SUM(B5:K5)</f>
        <v>0.99999999999999989</v>
      </c>
      <c r="O5" s="50" t="s">
        <v>55</v>
      </c>
    </row>
    <row r="6" spans="1:15" x14ac:dyDescent="0.2">
      <c r="A6" s="51"/>
      <c r="B6" s="59"/>
      <c r="C6" s="59"/>
      <c r="D6" s="59"/>
      <c r="E6" s="59"/>
      <c r="F6" s="59"/>
      <c r="G6" s="59"/>
      <c r="H6" s="59"/>
      <c r="I6" s="59"/>
      <c r="J6" s="59"/>
      <c r="K6" s="59"/>
      <c r="L6" s="55"/>
      <c r="M6" s="58"/>
      <c r="O6" s="50" t="s">
        <v>56</v>
      </c>
    </row>
    <row r="7" spans="1:15" ht="16" x14ac:dyDescent="0.2">
      <c r="A7" s="60" t="s">
        <v>45</v>
      </c>
      <c r="B7" s="61" t="s">
        <v>46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3"/>
      <c r="O7" s="50" t="s">
        <v>57</v>
      </c>
    </row>
    <row r="8" spans="1:15" x14ac:dyDescent="0.2">
      <c r="A8" s="49"/>
      <c r="B8" s="51" t="s">
        <v>30</v>
      </c>
      <c r="C8" s="51" t="s">
        <v>31</v>
      </c>
      <c r="D8" s="51" t="s">
        <v>32</v>
      </c>
      <c r="E8" s="51" t="s">
        <v>33</v>
      </c>
      <c r="F8" s="51" t="s">
        <v>34</v>
      </c>
      <c r="G8" s="51" t="s">
        <v>35</v>
      </c>
      <c r="H8" s="51" t="s">
        <v>36</v>
      </c>
      <c r="I8" s="51" t="s">
        <v>37</v>
      </c>
      <c r="J8" s="51" t="s">
        <v>38</v>
      </c>
      <c r="K8" s="51" t="s">
        <v>39</v>
      </c>
      <c r="L8" s="51"/>
      <c r="M8" s="49"/>
    </row>
    <row r="9" spans="1:15" x14ac:dyDescent="0.2">
      <c r="A9" s="62" t="s">
        <v>30</v>
      </c>
      <c r="B9" s="63">
        <v>0.31769087050906092</v>
      </c>
      <c r="C9" s="64">
        <v>6.4619491357145037E-2</v>
      </c>
      <c r="D9" s="64">
        <v>7.3699862122602697E-2</v>
      </c>
      <c r="E9" s="64">
        <v>2.4129466897492954E-2</v>
      </c>
      <c r="F9" s="64">
        <v>0.31502119932831252</v>
      </c>
      <c r="G9" s="64">
        <v>0.14783421358981344</v>
      </c>
      <c r="H9" s="64">
        <v>0.18025184066052319</v>
      </c>
      <c r="I9" s="64">
        <v>8.7819076690582414E-3</v>
      </c>
      <c r="J9" s="64">
        <v>3.4622645585711646E-2</v>
      </c>
      <c r="K9" s="65">
        <v>7.9259868139631456E-2</v>
      </c>
      <c r="L9" s="66"/>
      <c r="M9" s="49"/>
      <c r="O9" s="50" t="s">
        <v>58</v>
      </c>
    </row>
    <row r="10" spans="1:15" x14ac:dyDescent="0.2">
      <c r="A10" s="62" t="s">
        <v>31</v>
      </c>
      <c r="B10" s="67">
        <v>6.4619491357145037E-2</v>
      </c>
      <c r="C10" s="68">
        <v>8.6781561677518798E-2</v>
      </c>
      <c r="D10" s="68">
        <v>3.5632786883524045E-2</v>
      </c>
      <c r="E10" s="68">
        <v>2.6653199530118965E-2</v>
      </c>
      <c r="F10" s="68">
        <v>6.4619491357145037E-2</v>
      </c>
      <c r="G10" s="68">
        <v>8.1815516416876233E-2</v>
      </c>
      <c r="H10" s="68">
        <v>7.1555271703680479E-2</v>
      </c>
      <c r="I10" s="68">
        <v>1.6103260218079257E-2</v>
      </c>
      <c r="J10" s="68">
        <v>2.4284403165427078E-2</v>
      </c>
      <c r="K10" s="69">
        <v>4.5747630546293362E-2</v>
      </c>
      <c r="L10" s="66"/>
      <c r="M10" s="49"/>
      <c r="O10" s="50" t="s">
        <v>59</v>
      </c>
    </row>
    <row r="11" spans="1:15" x14ac:dyDescent="0.2">
      <c r="A11" s="62" t="s">
        <v>32</v>
      </c>
      <c r="B11" s="67">
        <v>7.3699862122602697E-2</v>
      </c>
      <c r="C11" s="68">
        <v>3.5632786883524045E-2</v>
      </c>
      <c r="D11" s="68">
        <v>8.0997342688001017E-2</v>
      </c>
      <c r="E11" s="68">
        <v>5.6419553226715576E-3</v>
      </c>
      <c r="F11" s="68">
        <v>7.3699862122602697E-2</v>
      </c>
      <c r="G11" s="68">
        <v>5.8040438138245942E-2</v>
      </c>
      <c r="H11" s="68">
        <v>6.4477824675497314E-2</v>
      </c>
      <c r="I11" s="68">
        <v>1.1799344734132033E-2</v>
      </c>
      <c r="J11" s="68">
        <v>2.8038036012182334E-2</v>
      </c>
      <c r="K11" s="69">
        <v>1.8365751731759025E-2</v>
      </c>
      <c r="L11" s="66"/>
      <c r="M11" s="49"/>
      <c r="O11" s="50" t="s">
        <v>60</v>
      </c>
    </row>
    <row r="12" spans="1:15" x14ac:dyDescent="0.2">
      <c r="A12" s="62" t="s">
        <v>33</v>
      </c>
      <c r="B12" s="67">
        <v>2.4129466897492954E-2</v>
      </c>
      <c r="C12" s="68">
        <v>2.6653199530118965E-2</v>
      </c>
      <c r="D12" s="68">
        <v>5.6419553226715576E-3</v>
      </c>
      <c r="E12" s="68">
        <v>6.1614611182126217E-2</v>
      </c>
      <c r="F12" s="68">
        <v>2.4129466897492954E-2</v>
      </c>
      <c r="G12" s="68">
        <v>3.8473226294586563E-2</v>
      </c>
      <c r="H12" s="68">
        <v>5.4188209343535507E-2</v>
      </c>
      <c r="I12" s="68">
        <v>1.0586661166365903E-2</v>
      </c>
      <c r="J12" s="68">
        <v>5.6584240535731203E-3</v>
      </c>
      <c r="K12" s="69">
        <v>2.8203223818135413E-2</v>
      </c>
      <c r="L12" s="66"/>
      <c r="M12" s="49"/>
      <c r="O12" s="50" t="s">
        <v>61</v>
      </c>
    </row>
    <row r="13" spans="1:15" x14ac:dyDescent="0.2">
      <c r="A13" s="62" t="s">
        <v>34</v>
      </c>
      <c r="B13" s="67">
        <v>0.31502119932831252</v>
      </c>
      <c r="C13" s="68">
        <v>6.4619491357145037E-2</v>
      </c>
      <c r="D13" s="68">
        <v>7.3699862122602697E-2</v>
      </c>
      <c r="E13" s="68">
        <v>2.4129466897492954E-2</v>
      </c>
      <c r="F13" s="68">
        <v>0.31769087050906092</v>
      </c>
      <c r="G13" s="68">
        <v>0.14783421358981344</v>
      </c>
      <c r="H13" s="68">
        <v>0.18025184066052319</v>
      </c>
      <c r="I13" s="68">
        <v>8.7819076690582414E-3</v>
      </c>
      <c r="J13" s="68">
        <v>3.4622645585711646E-2</v>
      </c>
      <c r="K13" s="69">
        <v>7.9259868139631456E-2</v>
      </c>
      <c r="L13" s="66"/>
      <c r="M13" s="49"/>
      <c r="O13" s="50" t="s">
        <v>60</v>
      </c>
    </row>
    <row r="14" spans="1:15" x14ac:dyDescent="0.2">
      <c r="A14" s="62" t="s">
        <v>35</v>
      </c>
      <c r="B14" s="67">
        <v>0.14783421358981344</v>
      </c>
      <c r="C14" s="68">
        <v>8.1815516416876233E-2</v>
      </c>
      <c r="D14" s="68">
        <v>5.8040438138245942E-2</v>
      </c>
      <c r="E14" s="68">
        <v>3.8473226294586563E-2</v>
      </c>
      <c r="F14" s="68">
        <v>0.14783421358981344</v>
      </c>
      <c r="G14" s="68">
        <v>0.49378247093712768</v>
      </c>
      <c r="H14" s="68">
        <v>0.273989140125107</v>
      </c>
      <c r="I14" s="68">
        <v>3.7460439022358571E-2</v>
      </c>
      <c r="J14" s="68">
        <v>9.364703771454759E-2</v>
      </c>
      <c r="K14" s="69">
        <v>0.11952657052351381</v>
      </c>
      <c r="L14" s="66"/>
      <c r="M14" s="49"/>
      <c r="O14" s="50" t="s">
        <v>62</v>
      </c>
    </row>
    <row r="15" spans="1:15" x14ac:dyDescent="0.2">
      <c r="A15" s="62" t="s">
        <v>36</v>
      </c>
      <c r="B15" s="67">
        <v>0.18025184066052319</v>
      </c>
      <c r="C15" s="68">
        <v>7.1555271703680479E-2</v>
      </c>
      <c r="D15" s="68">
        <v>6.4477824675497314E-2</v>
      </c>
      <c r="E15" s="68">
        <v>5.4188209343535507E-2</v>
      </c>
      <c r="F15" s="68">
        <v>0.18025184066052319</v>
      </c>
      <c r="G15" s="68">
        <v>0.273989140125107</v>
      </c>
      <c r="H15" s="68">
        <v>0.46467248997378929</v>
      </c>
      <c r="I15" s="68">
        <v>2.6607530676062235E-2</v>
      </c>
      <c r="J15" s="68">
        <v>0.11650054244777588</v>
      </c>
      <c r="K15" s="69">
        <v>0.1592461990403167</v>
      </c>
      <c r="L15" s="66"/>
      <c r="M15" s="49"/>
      <c r="O15" s="50" t="s">
        <v>63</v>
      </c>
    </row>
    <row r="16" spans="1:15" x14ac:dyDescent="0.2">
      <c r="A16" s="62" t="s">
        <v>37</v>
      </c>
      <c r="B16" s="67">
        <v>8.7819076690582414E-3</v>
      </c>
      <c r="C16" s="68">
        <v>1.6103260218079257E-2</v>
      </c>
      <c r="D16" s="68">
        <v>1.1799344734132033E-2</v>
      </c>
      <c r="E16" s="68">
        <v>1.0586661166365903E-2</v>
      </c>
      <c r="F16" s="68">
        <v>8.7819076690582414E-3</v>
      </c>
      <c r="G16" s="68">
        <v>3.7460439022358571E-2</v>
      </c>
      <c r="H16" s="68">
        <v>2.6607530676062235E-2</v>
      </c>
      <c r="I16" s="68">
        <v>6.7221401090032676E-2</v>
      </c>
      <c r="J16" s="68">
        <v>2.5309875488328313E-3</v>
      </c>
      <c r="K16" s="69">
        <v>1.311681078819182E-2</v>
      </c>
      <c r="L16" s="66"/>
      <c r="M16" s="49"/>
      <c r="O16" s="50" t="s">
        <v>64</v>
      </c>
    </row>
    <row r="17" spans="1:15" x14ac:dyDescent="0.2">
      <c r="A17" s="62" t="s">
        <v>38</v>
      </c>
      <c r="B17" s="67">
        <v>3.4622645585711646E-2</v>
      </c>
      <c r="C17" s="68">
        <v>2.4284403165427078E-2</v>
      </c>
      <c r="D17" s="68">
        <v>2.8038036012182334E-2</v>
      </c>
      <c r="E17" s="68">
        <v>5.6584240535731203E-3</v>
      </c>
      <c r="F17" s="68">
        <v>3.4622645585711646E-2</v>
      </c>
      <c r="G17" s="68">
        <v>9.364703771454759E-2</v>
      </c>
      <c r="H17" s="68">
        <v>0.11650054244777588</v>
      </c>
      <c r="I17" s="68">
        <v>2.5309875488328313E-3</v>
      </c>
      <c r="J17" s="68">
        <v>0.14396155448367975</v>
      </c>
      <c r="K17" s="69">
        <v>5.112607235560275E-2</v>
      </c>
      <c r="L17" s="66"/>
      <c r="M17" s="49"/>
      <c r="O17" s="50" t="s">
        <v>65</v>
      </c>
    </row>
    <row r="18" spans="1:15" x14ac:dyDescent="0.2">
      <c r="A18" s="62" t="s">
        <v>39</v>
      </c>
      <c r="B18" s="70">
        <v>7.9259868139631456E-2</v>
      </c>
      <c r="C18" s="71">
        <v>4.5747630546293362E-2</v>
      </c>
      <c r="D18" s="71">
        <v>1.8365751731759025E-2</v>
      </c>
      <c r="E18" s="71">
        <v>2.8203223818135413E-2</v>
      </c>
      <c r="F18" s="71">
        <v>7.9259868139631456E-2</v>
      </c>
      <c r="G18" s="71">
        <v>0.11952657052351381</v>
      </c>
      <c r="H18" s="71">
        <v>0.1592461990403167</v>
      </c>
      <c r="I18" s="71">
        <v>1.311681078819182E-2</v>
      </c>
      <c r="J18" s="71">
        <v>5.112607235560275E-2</v>
      </c>
      <c r="K18" s="72">
        <v>0.14196028328180388</v>
      </c>
      <c r="L18" s="66"/>
      <c r="M18" s="49"/>
      <c r="O18" s="50" t="s">
        <v>66</v>
      </c>
    </row>
    <row r="19" spans="1:15" x14ac:dyDescent="0.2">
      <c r="A19" s="62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49"/>
      <c r="M19" s="49"/>
      <c r="O19" s="50" t="s">
        <v>67</v>
      </c>
    </row>
    <row r="20" spans="1:15" ht="16" thickBot="1" x14ac:dyDescent="0.25">
      <c r="A20" s="49"/>
      <c r="B20" s="49"/>
      <c r="C20" s="49"/>
      <c r="D20" s="74"/>
      <c r="E20" s="49"/>
      <c r="F20" s="49"/>
      <c r="G20" s="49"/>
      <c r="H20" s="49"/>
      <c r="I20" s="49"/>
      <c r="J20" s="49"/>
      <c r="K20" s="49"/>
      <c r="L20" s="49"/>
      <c r="M20" s="49"/>
      <c r="O20" s="50" t="s">
        <v>68</v>
      </c>
    </row>
    <row r="21" spans="1:15" ht="16" thickBot="1" x14ac:dyDescent="0.25">
      <c r="A21" s="75">
        <v>0.05</v>
      </c>
      <c r="B21" s="53" t="s">
        <v>47</v>
      </c>
      <c r="C21" s="49"/>
      <c r="D21" s="49"/>
      <c r="E21" s="51"/>
      <c r="F21" s="51"/>
      <c r="G21" s="49"/>
      <c r="H21" s="49"/>
      <c r="I21" s="49"/>
      <c r="J21" s="49"/>
      <c r="K21" s="49"/>
      <c r="L21" s="49"/>
      <c r="M21" s="49"/>
      <c r="O21" s="50" t="s">
        <v>69</v>
      </c>
    </row>
    <row r="22" spans="1:15" ht="16" thickBot="1" x14ac:dyDescent="0.25">
      <c r="A22" s="49"/>
      <c r="B22" s="49"/>
      <c r="C22" s="49"/>
      <c r="D22" s="49"/>
      <c r="E22" s="59"/>
      <c r="F22" s="59"/>
      <c r="G22" s="49"/>
      <c r="H22" s="49"/>
      <c r="I22" s="49"/>
      <c r="J22" s="49"/>
      <c r="K22" s="49"/>
      <c r="L22" s="49"/>
      <c r="M22" s="49"/>
      <c r="O22" s="50" t="s">
        <v>70</v>
      </c>
    </row>
    <row r="23" spans="1:15" ht="16" thickBot="1" x14ac:dyDescent="0.25">
      <c r="A23" s="76">
        <f t="array" ref="A23">MMULT(B5:K5,MMULT(B9:K18, TRANSPOSE(B5:K5)))</f>
        <v>8.2972460270707274E-2</v>
      </c>
      <c r="B23" s="53" t="s">
        <v>48</v>
      </c>
      <c r="C23" s="49"/>
      <c r="D23" s="49"/>
      <c r="E23" s="59"/>
      <c r="F23" s="59"/>
      <c r="G23" s="49"/>
      <c r="H23" s="49"/>
      <c r="I23" s="49"/>
      <c r="J23" s="49"/>
      <c r="K23" s="49"/>
      <c r="L23" s="49"/>
      <c r="M23" s="49"/>
      <c r="O23" s="50" t="s">
        <v>60</v>
      </c>
    </row>
    <row r="24" spans="1:15" ht="16" thickBot="1" x14ac:dyDescent="0.25">
      <c r="A24" s="49"/>
      <c r="B24" s="49"/>
      <c r="C24" s="49"/>
      <c r="D24" s="49"/>
      <c r="E24" s="59"/>
      <c r="F24" s="59"/>
      <c r="G24" s="49"/>
      <c r="H24" s="49"/>
      <c r="I24" s="49"/>
      <c r="J24" s="49"/>
      <c r="K24" s="49"/>
      <c r="L24" s="49"/>
      <c r="M24" s="49"/>
      <c r="O24" s="50" t="s">
        <v>71</v>
      </c>
    </row>
    <row r="25" spans="1:15" x14ac:dyDescent="0.2">
      <c r="A25" s="77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9"/>
    </row>
    <row r="26" spans="1:15" x14ac:dyDescent="0.2">
      <c r="A26" s="80"/>
      <c r="B26" s="81"/>
      <c r="C26" s="81"/>
      <c r="D26" s="81"/>
      <c r="E26" s="82"/>
      <c r="F26" s="81"/>
      <c r="G26" s="81"/>
      <c r="H26" s="81"/>
      <c r="I26" s="81"/>
      <c r="J26" s="81"/>
      <c r="K26" s="81"/>
      <c r="L26" s="81"/>
      <c r="M26" s="83"/>
      <c r="O26" s="50" t="s">
        <v>72</v>
      </c>
    </row>
    <row r="27" spans="1:15" ht="16" thickBot="1" x14ac:dyDescent="0.25">
      <c r="A27" s="84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6"/>
      <c r="O27" s="50" t="s">
        <v>7</v>
      </c>
    </row>
    <row r="28" spans="1:15" ht="16" thickBot="1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</row>
    <row r="29" spans="1:15" x14ac:dyDescent="0.2">
      <c r="A29" s="87" t="s">
        <v>49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9"/>
    </row>
    <row r="30" spans="1:15" ht="16" thickBot="1" x14ac:dyDescent="0.25">
      <c r="A30" s="88" t="s">
        <v>50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6"/>
    </row>
    <row r="31" spans="1:15" ht="16" thickBot="1" x14ac:dyDescent="0.25">
      <c r="A31" s="49"/>
      <c r="B31" s="89" t="s">
        <v>44</v>
      </c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</row>
    <row r="32" spans="1:15" ht="16" thickBot="1" x14ac:dyDescent="0.25">
      <c r="A32" s="90" t="s">
        <v>51</v>
      </c>
      <c r="B32" s="91" t="s">
        <v>30</v>
      </c>
      <c r="C32" s="91" t="s">
        <v>31</v>
      </c>
      <c r="D32" s="91" t="s">
        <v>32</v>
      </c>
      <c r="E32" s="91" t="s">
        <v>33</v>
      </c>
      <c r="F32" s="91" t="s">
        <v>34</v>
      </c>
      <c r="G32" s="91" t="s">
        <v>35</v>
      </c>
      <c r="H32" s="91" t="s">
        <v>36</v>
      </c>
      <c r="I32" s="91" t="s">
        <v>37</v>
      </c>
      <c r="J32" s="91" t="s">
        <v>38</v>
      </c>
      <c r="K32" s="91" t="s">
        <v>39</v>
      </c>
      <c r="L32" s="92" t="s">
        <v>52</v>
      </c>
      <c r="M32" s="93" t="s">
        <v>51</v>
      </c>
    </row>
    <row r="33" spans="1:13" x14ac:dyDescent="0.2">
      <c r="A33" s="94">
        <v>0.05</v>
      </c>
      <c r="B33" s="94"/>
      <c r="C33" s="95"/>
      <c r="D33" s="95"/>
      <c r="E33" s="95"/>
      <c r="F33" s="95"/>
      <c r="G33" s="95"/>
      <c r="H33" s="95"/>
      <c r="I33" s="95"/>
      <c r="J33" s="95"/>
      <c r="K33" s="95"/>
      <c r="L33" s="96"/>
      <c r="M33" s="97">
        <v>0.05</v>
      </c>
    </row>
    <row r="34" spans="1:13" x14ac:dyDescent="0.2">
      <c r="A34" s="96">
        <v>5.2499999999999998E-2</v>
      </c>
      <c r="B34" s="94"/>
      <c r="C34" s="98"/>
      <c r="D34" s="98"/>
      <c r="E34" s="98"/>
      <c r="F34" s="98"/>
      <c r="G34" s="98"/>
      <c r="H34" s="98"/>
      <c r="I34" s="98"/>
      <c r="J34" s="98"/>
      <c r="K34" s="98"/>
      <c r="L34" s="96"/>
      <c r="M34" s="96">
        <v>5.2499999999999998E-2</v>
      </c>
    </row>
    <row r="35" spans="1:13" x14ac:dyDescent="0.2">
      <c r="A35" s="96">
        <v>5.5E-2</v>
      </c>
      <c r="B35" s="94"/>
      <c r="C35" s="98"/>
      <c r="D35" s="98"/>
      <c r="E35" s="98"/>
      <c r="F35" s="98"/>
      <c r="G35" s="98"/>
      <c r="H35" s="98"/>
      <c r="I35" s="98"/>
      <c r="J35" s="98"/>
      <c r="K35" s="98"/>
      <c r="L35" s="96"/>
      <c r="M35" s="96">
        <v>5.5E-2</v>
      </c>
    </row>
    <row r="36" spans="1:13" x14ac:dyDescent="0.2">
      <c r="A36" s="96">
        <v>5.7500000000000002E-2</v>
      </c>
      <c r="B36" s="94"/>
      <c r="C36" s="98"/>
      <c r="D36" s="98"/>
      <c r="E36" s="98"/>
      <c r="F36" s="98"/>
      <c r="G36" s="98"/>
      <c r="H36" s="98"/>
      <c r="I36" s="98"/>
      <c r="J36" s="98"/>
      <c r="K36" s="98"/>
      <c r="L36" s="96"/>
      <c r="M36" s="96">
        <v>5.7500000000000002E-2</v>
      </c>
    </row>
    <row r="37" spans="1:13" x14ac:dyDescent="0.2">
      <c r="A37" s="96">
        <v>0.06</v>
      </c>
      <c r="B37" s="94"/>
      <c r="C37" s="98"/>
      <c r="D37" s="98"/>
      <c r="E37" s="98"/>
      <c r="F37" s="98"/>
      <c r="G37" s="98"/>
      <c r="H37" s="98"/>
      <c r="I37" s="98"/>
      <c r="J37" s="98"/>
      <c r="K37" s="98"/>
      <c r="L37" s="96"/>
      <c r="M37" s="96">
        <v>0.06</v>
      </c>
    </row>
    <row r="38" spans="1:13" x14ac:dyDescent="0.2">
      <c r="A38" s="96">
        <v>6.25E-2</v>
      </c>
      <c r="B38" s="94"/>
      <c r="C38" s="98"/>
      <c r="D38" s="98"/>
      <c r="E38" s="98"/>
      <c r="F38" s="98"/>
      <c r="G38" s="98"/>
      <c r="H38" s="98"/>
      <c r="I38" s="98"/>
      <c r="J38" s="98"/>
      <c r="K38" s="98"/>
      <c r="L38" s="96"/>
      <c r="M38" s="96">
        <v>6.25E-2</v>
      </c>
    </row>
    <row r="39" spans="1:13" x14ac:dyDescent="0.2">
      <c r="A39" s="96">
        <v>6.5000000000000002E-2</v>
      </c>
      <c r="B39" s="94"/>
      <c r="C39" s="98"/>
      <c r="D39" s="98"/>
      <c r="E39" s="98"/>
      <c r="F39" s="98"/>
      <c r="G39" s="98"/>
      <c r="H39" s="98"/>
      <c r="I39" s="98"/>
      <c r="J39" s="98"/>
      <c r="K39" s="98"/>
      <c r="L39" s="96"/>
      <c r="M39" s="96">
        <v>6.5000000000000002E-2</v>
      </c>
    </row>
    <row r="40" spans="1:13" x14ac:dyDescent="0.2">
      <c r="A40" s="96">
        <v>6.7500000000000004E-2</v>
      </c>
      <c r="B40" s="94"/>
      <c r="C40" s="98"/>
      <c r="D40" s="98"/>
      <c r="E40" s="98"/>
      <c r="F40" s="98"/>
      <c r="G40" s="98"/>
      <c r="H40" s="98"/>
      <c r="I40" s="98"/>
      <c r="J40" s="98"/>
      <c r="K40" s="98"/>
      <c r="L40" s="96"/>
      <c r="M40" s="96">
        <v>6.7500000000000004E-2</v>
      </c>
    </row>
    <row r="41" spans="1:13" x14ac:dyDescent="0.2">
      <c r="A41" s="96">
        <v>7.0000000000000007E-2</v>
      </c>
      <c r="B41" s="94"/>
      <c r="C41" s="98"/>
      <c r="D41" s="98"/>
      <c r="E41" s="98"/>
      <c r="F41" s="98"/>
      <c r="G41" s="98"/>
      <c r="H41" s="98"/>
      <c r="I41" s="98"/>
      <c r="J41" s="98"/>
      <c r="K41" s="98"/>
      <c r="L41" s="96"/>
      <c r="M41" s="96">
        <v>7.0000000000000007E-2</v>
      </c>
    </row>
    <row r="42" spans="1:13" x14ac:dyDescent="0.2">
      <c r="A42" s="96">
        <v>7.2499999999999995E-2</v>
      </c>
      <c r="B42" s="94"/>
      <c r="C42" s="98"/>
      <c r="D42" s="98"/>
      <c r="E42" s="98"/>
      <c r="F42" s="98"/>
      <c r="G42" s="98"/>
      <c r="H42" s="98"/>
      <c r="I42" s="98"/>
      <c r="J42" s="98"/>
      <c r="K42" s="98"/>
      <c r="L42" s="96"/>
      <c r="M42" s="96">
        <v>7.2499999999999995E-2</v>
      </c>
    </row>
    <row r="43" spans="1:13" x14ac:dyDescent="0.2">
      <c r="A43" s="96">
        <v>7.4999999999999997E-2</v>
      </c>
      <c r="B43" s="94"/>
      <c r="C43" s="98"/>
      <c r="D43" s="98"/>
      <c r="E43" s="98"/>
      <c r="F43" s="98"/>
      <c r="G43" s="98"/>
      <c r="H43" s="98"/>
      <c r="I43" s="98"/>
      <c r="J43" s="98"/>
      <c r="K43" s="98"/>
      <c r="L43" s="96"/>
      <c r="M43" s="96">
        <v>7.4999999999999997E-2</v>
      </c>
    </row>
    <row r="44" spans="1:13" x14ac:dyDescent="0.2">
      <c r="A44" s="96">
        <v>7.7499999999999902E-2</v>
      </c>
      <c r="B44" s="94"/>
      <c r="C44" s="98"/>
      <c r="D44" s="98"/>
      <c r="E44" s="98"/>
      <c r="F44" s="98"/>
      <c r="G44" s="98"/>
      <c r="H44" s="98"/>
      <c r="I44" s="98"/>
      <c r="J44" s="98"/>
      <c r="K44" s="98"/>
      <c r="L44" s="96"/>
      <c r="M44" s="96">
        <v>7.7499999999999902E-2</v>
      </c>
    </row>
    <row r="45" spans="1:13" x14ac:dyDescent="0.2">
      <c r="A45" s="96">
        <v>7.9999999999999905E-2</v>
      </c>
      <c r="B45" s="94"/>
      <c r="C45" s="98"/>
      <c r="D45" s="98"/>
      <c r="E45" s="98"/>
      <c r="F45" s="98"/>
      <c r="G45" s="98"/>
      <c r="H45" s="98"/>
      <c r="I45" s="98"/>
      <c r="J45" s="98"/>
      <c r="K45" s="98"/>
      <c r="L45" s="96"/>
      <c r="M45" s="96">
        <v>7.9999999999999905E-2</v>
      </c>
    </row>
    <row r="46" spans="1:13" x14ac:dyDescent="0.2">
      <c r="A46" s="96">
        <v>8.2499999999999907E-2</v>
      </c>
      <c r="B46" s="94"/>
      <c r="C46" s="98"/>
      <c r="D46" s="98"/>
      <c r="E46" s="98"/>
      <c r="F46" s="98"/>
      <c r="G46" s="98"/>
      <c r="H46" s="98"/>
      <c r="I46" s="98"/>
      <c r="J46" s="98"/>
      <c r="K46" s="98"/>
      <c r="L46" s="96"/>
      <c r="M46" s="96">
        <v>8.2499999999999907E-2</v>
      </c>
    </row>
    <row r="47" spans="1:13" x14ac:dyDescent="0.2">
      <c r="A47" s="96">
        <v>8.4999999999999895E-2</v>
      </c>
      <c r="B47" s="94"/>
      <c r="C47" s="98"/>
      <c r="D47" s="98"/>
      <c r="E47" s="98"/>
      <c r="F47" s="98"/>
      <c r="G47" s="98"/>
      <c r="H47" s="98"/>
      <c r="I47" s="98"/>
      <c r="J47" s="98"/>
      <c r="K47" s="98"/>
      <c r="L47" s="96"/>
      <c r="M47" s="96">
        <v>8.4999999999999895E-2</v>
      </c>
    </row>
    <row r="48" spans="1:13" x14ac:dyDescent="0.2">
      <c r="A48" s="96">
        <v>8.7499999999999897E-2</v>
      </c>
      <c r="B48" s="94"/>
      <c r="C48" s="98"/>
      <c r="D48" s="98"/>
      <c r="E48" s="98"/>
      <c r="F48" s="98"/>
      <c r="G48" s="98"/>
      <c r="H48" s="98"/>
      <c r="I48" s="98"/>
      <c r="J48" s="98"/>
      <c r="K48" s="98"/>
      <c r="L48" s="96"/>
      <c r="M48" s="96">
        <v>8.7499999999999897E-2</v>
      </c>
    </row>
    <row r="49" spans="1:13" x14ac:dyDescent="0.2">
      <c r="A49" s="96">
        <v>8.99999999999999E-2</v>
      </c>
      <c r="B49" s="94"/>
      <c r="C49" s="98"/>
      <c r="D49" s="98"/>
      <c r="E49" s="98"/>
      <c r="F49" s="98"/>
      <c r="G49" s="98"/>
      <c r="H49" s="98"/>
      <c r="I49" s="98"/>
      <c r="J49" s="98"/>
      <c r="K49" s="98"/>
      <c r="L49" s="96"/>
      <c r="M49" s="96">
        <v>8.99999999999999E-2</v>
      </c>
    </row>
    <row r="50" spans="1:13" x14ac:dyDescent="0.2">
      <c r="A50" s="96">
        <v>9.2499999999999902E-2</v>
      </c>
      <c r="B50" s="94"/>
      <c r="C50" s="98"/>
      <c r="D50" s="98"/>
      <c r="E50" s="98"/>
      <c r="F50" s="98"/>
      <c r="G50" s="98"/>
      <c r="H50" s="98"/>
      <c r="I50" s="98"/>
      <c r="J50" s="98"/>
      <c r="K50" s="98"/>
      <c r="L50" s="96"/>
      <c r="M50" s="96">
        <v>9.2499999999999902E-2</v>
      </c>
    </row>
    <row r="51" spans="1:13" x14ac:dyDescent="0.2">
      <c r="A51" s="96">
        <v>9.4999999999999904E-2</v>
      </c>
      <c r="B51" s="94"/>
      <c r="C51" s="98"/>
      <c r="D51" s="98"/>
      <c r="E51" s="98"/>
      <c r="F51" s="98"/>
      <c r="G51" s="98"/>
      <c r="H51" s="98"/>
      <c r="I51" s="98"/>
      <c r="J51" s="98"/>
      <c r="K51" s="98"/>
      <c r="L51" s="96"/>
      <c r="M51" s="96">
        <v>9.4999999999999904E-2</v>
      </c>
    </row>
    <row r="52" spans="1:13" x14ac:dyDescent="0.2">
      <c r="A52" s="96">
        <v>9.7499999999999906E-2</v>
      </c>
      <c r="B52" s="94"/>
      <c r="C52" s="98"/>
      <c r="D52" s="98"/>
      <c r="E52" s="98"/>
      <c r="F52" s="98"/>
      <c r="G52" s="98"/>
      <c r="H52" s="98"/>
      <c r="I52" s="98"/>
      <c r="J52" s="98"/>
      <c r="K52" s="98"/>
      <c r="L52" s="96"/>
      <c r="M52" s="96">
        <v>9.7499999999999906E-2</v>
      </c>
    </row>
    <row r="53" spans="1:13" x14ac:dyDescent="0.2">
      <c r="A53" s="96">
        <v>9.9999999999999895E-2</v>
      </c>
      <c r="B53" s="94"/>
      <c r="C53" s="98"/>
      <c r="D53" s="98"/>
      <c r="E53" s="98"/>
      <c r="F53" s="98"/>
      <c r="G53" s="98"/>
      <c r="H53" s="98"/>
      <c r="I53" s="98"/>
      <c r="J53" s="98"/>
      <c r="K53" s="98"/>
      <c r="L53" s="96"/>
      <c r="M53" s="96">
        <v>9.9999999999999895E-2</v>
      </c>
    </row>
    <row r="54" spans="1:13" x14ac:dyDescent="0.2">
      <c r="A54" s="96">
        <v>0.10249999999999999</v>
      </c>
      <c r="B54" s="94"/>
      <c r="C54" s="98"/>
      <c r="D54" s="98"/>
      <c r="E54" s="98"/>
      <c r="F54" s="98"/>
      <c r="G54" s="98"/>
      <c r="H54" s="98"/>
      <c r="I54" s="98"/>
      <c r="J54" s="98"/>
      <c r="K54" s="98"/>
      <c r="L54" s="96"/>
      <c r="M54" s="96">
        <v>0.10249999999999999</v>
      </c>
    </row>
    <row r="55" spans="1:13" x14ac:dyDescent="0.2">
      <c r="A55" s="96">
        <v>0.105</v>
      </c>
      <c r="B55" s="94"/>
      <c r="C55" s="98"/>
      <c r="D55" s="98"/>
      <c r="E55" s="98"/>
      <c r="F55" s="98"/>
      <c r="G55" s="98"/>
      <c r="H55" s="98"/>
      <c r="I55" s="98"/>
      <c r="J55" s="98"/>
      <c r="K55" s="98"/>
      <c r="L55" s="96"/>
      <c r="M55" s="96">
        <v>0.105</v>
      </c>
    </row>
    <row r="56" spans="1:13" x14ac:dyDescent="0.2">
      <c r="A56" s="96">
        <v>0.1075</v>
      </c>
      <c r="B56" s="94"/>
      <c r="C56" s="98"/>
      <c r="D56" s="98"/>
      <c r="E56" s="98"/>
      <c r="F56" s="98"/>
      <c r="G56" s="98"/>
      <c r="H56" s="98"/>
      <c r="I56" s="98"/>
      <c r="J56" s="98"/>
      <c r="K56" s="98"/>
      <c r="L56" s="96"/>
      <c r="M56" s="96">
        <v>0.1075</v>
      </c>
    </row>
    <row r="57" spans="1:13" x14ac:dyDescent="0.2">
      <c r="A57" s="96">
        <v>0.11</v>
      </c>
      <c r="B57" s="94"/>
      <c r="C57" s="98"/>
      <c r="D57" s="98"/>
      <c r="E57" s="98"/>
      <c r="F57" s="98"/>
      <c r="G57" s="98"/>
      <c r="H57" s="98"/>
      <c r="I57" s="98"/>
      <c r="J57" s="98"/>
      <c r="K57" s="98"/>
      <c r="L57" s="96"/>
      <c r="M57" s="96">
        <v>0.11</v>
      </c>
    </row>
    <row r="58" spans="1:13" x14ac:dyDescent="0.2">
      <c r="A58" s="96">
        <v>0.1125</v>
      </c>
      <c r="B58" s="94"/>
      <c r="C58" s="98"/>
      <c r="D58" s="98"/>
      <c r="E58" s="98"/>
      <c r="F58" s="98"/>
      <c r="G58" s="98"/>
      <c r="H58" s="98"/>
      <c r="I58" s="98"/>
      <c r="J58" s="98"/>
      <c r="K58" s="98"/>
      <c r="L58" s="96"/>
      <c r="M58" s="96">
        <v>0.1125</v>
      </c>
    </row>
    <row r="59" spans="1:13" x14ac:dyDescent="0.2">
      <c r="A59" s="96">
        <v>0.115</v>
      </c>
      <c r="B59" s="94"/>
      <c r="C59" s="98"/>
      <c r="D59" s="98"/>
      <c r="E59" s="98"/>
      <c r="F59" s="98"/>
      <c r="G59" s="98"/>
      <c r="H59" s="98"/>
      <c r="I59" s="98"/>
      <c r="J59" s="98"/>
      <c r="K59" s="98"/>
      <c r="L59" s="96"/>
      <c r="M59" s="96">
        <v>0.115</v>
      </c>
    </row>
    <row r="60" spans="1:13" x14ac:dyDescent="0.2">
      <c r="A60" s="96">
        <v>0.11749999999999999</v>
      </c>
      <c r="B60" s="94"/>
      <c r="C60" s="98"/>
      <c r="D60" s="98"/>
      <c r="E60" s="98"/>
      <c r="F60" s="98"/>
      <c r="G60" s="98"/>
      <c r="H60" s="98"/>
      <c r="I60" s="98"/>
      <c r="J60" s="98"/>
      <c r="K60" s="98"/>
      <c r="L60" s="96"/>
      <c r="M60" s="96">
        <v>0.11749999999999999</v>
      </c>
    </row>
    <row r="61" spans="1:13" x14ac:dyDescent="0.2">
      <c r="A61" s="96">
        <v>0.12</v>
      </c>
      <c r="B61" s="94"/>
      <c r="C61" s="98"/>
      <c r="D61" s="98"/>
      <c r="E61" s="98"/>
      <c r="F61" s="98"/>
      <c r="G61" s="98"/>
      <c r="H61" s="98"/>
      <c r="I61" s="98"/>
      <c r="J61" s="98"/>
      <c r="K61" s="98"/>
      <c r="L61" s="96"/>
      <c r="M61" s="96">
        <v>0.12</v>
      </c>
    </row>
    <row r="62" spans="1:13" x14ac:dyDescent="0.2">
      <c r="A62" s="96">
        <v>0.1225</v>
      </c>
      <c r="B62" s="94"/>
      <c r="C62" s="98"/>
      <c r="D62" s="98"/>
      <c r="E62" s="98"/>
      <c r="F62" s="98"/>
      <c r="G62" s="98"/>
      <c r="H62" s="98"/>
      <c r="I62" s="98"/>
      <c r="J62" s="98"/>
      <c r="K62" s="98"/>
      <c r="L62" s="96"/>
      <c r="M62" s="96">
        <v>0.1225</v>
      </c>
    </row>
    <row r="63" spans="1:13" x14ac:dyDescent="0.2">
      <c r="A63" s="96">
        <v>0.125</v>
      </c>
      <c r="B63" s="94"/>
      <c r="C63" s="98"/>
      <c r="D63" s="98"/>
      <c r="E63" s="98"/>
      <c r="F63" s="98"/>
      <c r="G63" s="98"/>
      <c r="H63" s="98"/>
      <c r="I63" s="98"/>
      <c r="J63" s="98"/>
      <c r="K63" s="98"/>
      <c r="L63" s="96"/>
      <c r="M63" s="96">
        <v>0.125</v>
      </c>
    </row>
    <row r="64" spans="1:13" x14ac:dyDescent="0.2">
      <c r="A64" s="96">
        <v>0.1275</v>
      </c>
      <c r="B64" s="94"/>
      <c r="C64" s="98"/>
      <c r="D64" s="98"/>
      <c r="E64" s="98"/>
      <c r="F64" s="98"/>
      <c r="G64" s="98"/>
      <c r="H64" s="98"/>
      <c r="I64" s="98"/>
      <c r="J64" s="98"/>
      <c r="K64" s="98"/>
      <c r="L64" s="96"/>
      <c r="M64" s="96">
        <v>0.1275</v>
      </c>
    </row>
    <row r="65" spans="1:13" x14ac:dyDescent="0.2">
      <c r="A65" s="96">
        <v>0.13</v>
      </c>
      <c r="B65" s="94"/>
      <c r="C65" s="98"/>
      <c r="D65" s="98"/>
      <c r="E65" s="98"/>
      <c r="F65" s="98"/>
      <c r="G65" s="98"/>
      <c r="H65" s="98"/>
      <c r="I65" s="98"/>
      <c r="J65" s="98"/>
      <c r="K65" s="98"/>
      <c r="L65" s="96"/>
      <c r="M65" s="96">
        <v>0.13</v>
      </c>
    </row>
    <row r="66" spans="1:13" x14ac:dyDescent="0.2">
      <c r="A66" s="96">
        <v>0.13250000000000001</v>
      </c>
      <c r="B66" s="94"/>
      <c r="C66" s="98"/>
      <c r="D66" s="98"/>
      <c r="E66" s="98"/>
      <c r="F66" s="98"/>
      <c r="G66" s="98"/>
      <c r="H66" s="98"/>
      <c r="I66" s="98"/>
      <c r="J66" s="98"/>
      <c r="K66" s="98"/>
      <c r="L66" s="96"/>
      <c r="M66" s="96">
        <v>0.13250000000000001</v>
      </c>
    </row>
    <row r="67" spans="1:13" x14ac:dyDescent="0.2">
      <c r="A67" s="96">
        <v>0.13500000000000001</v>
      </c>
      <c r="B67" s="94"/>
      <c r="C67" s="98"/>
      <c r="D67" s="98"/>
      <c r="E67" s="98"/>
      <c r="F67" s="98"/>
      <c r="G67" s="98"/>
      <c r="H67" s="98"/>
      <c r="I67" s="98"/>
      <c r="J67" s="98"/>
      <c r="K67" s="98"/>
      <c r="L67" s="96"/>
      <c r="M67" s="96">
        <v>0.13500000000000001</v>
      </c>
    </row>
    <row r="68" spans="1:13" x14ac:dyDescent="0.2">
      <c r="A68" s="96">
        <v>0.13750000000000001</v>
      </c>
      <c r="B68" s="94"/>
      <c r="C68" s="98"/>
      <c r="D68" s="98"/>
      <c r="E68" s="98"/>
      <c r="F68" s="98"/>
      <c r="G68" s="98"/>
      <c r="H68" s="98"/>
      <c r="I68" s="98"/>
      <c r="J68" s="98"/>
      <c r="K68" s="98"/>
      <c r="L68" s="96"/>
      <c r="M68" s="96">
        <v>0.13750000000000001</v>
      </c>
    </row>
    <row r="69" spans="1:13" x14ac:dyDescent="0.2">
      <c r="A69" s="96">
        <v>0.14000000000000001</v>
      </c>
      <c r="B69" s="94"/>
      <c r="C69" s="98"/>
      <c r="D69" s="98"/>
      <c r="E69" s="98"/>
      <c r="F69" s="98"/>
      <c r="G69" s="98"/>
      <c r="H69" s="98"/>
      <c r="I69" s="98"/>
      <c r="J69" s="98"/>
      <c r="K69" s="98"/>
      <c r="L69" s="96"/>
      <c r="M69" s="96">
        <v>0.14000000000000001</v>
      </c>
    </row>
    <row r="70" spans="1:13" x14ac:dyDescent="0.2">
      <c r="A70" s="96">
        <v>0.14249999999999999</v>
      </c>
      <c r="B70" s="94"/>
      <c r="C70" s="98"/>
      <c r="D70" s="98"/>
      <c r="E70" s="98"/>
      <c r="F70" s="98"/>
      <c r="G70" s="98"/>
      <c r="H70" s="98"/>
      <c r="I70" s="98"/>
      <c r="J70" s="98"/>
      <c r="K70" s="98"/>
      <c r="L70" s="96"/>
      <c r="M70" s="96">
        <v>0.14249999999999999</v>
      </c>
    </row>
    <row r="71" spans="1:13" x14ac:dyDescent="0.2">
      <c r="A71" s="96">
        <v>0.14499999999999999</v>
      </c>
      <c r="B71" s="94"/>
      <c r="C71" s="98"/>
      <c r="D71" s="98"/>
      <c r="E71" s="98"/>
      <c r="F71" s="98"/>
      <c r="G71" s="98"/>
      <c r="H71" s="98"/>
      <c r="I71" s="98"/>
      <c r="J71" s="98"/>
      <c r="K71" s="98"/>
      <c r="L71" s="96"/>
      <c r="M71" s="96">
        <v>0.14499999999999999</v>
      </c>
    </row>
    <row r="72" spans="1:13" x14ac:dyDescent="0.2">
      <c r="A72" s="96">
        <v>0.14749999999999999</v>
      </c>
      <c r="B72" s="94"/>
      <c r="C72" s="98"/>
      <c r="D72" s="98"/>
      <c r="E72" s="98"/>
      <c r="F72" s="98"/>
      <c r="G72" s="98"/>
      <c r="H72" s="98"/>
      <c r="I72" s="98"/>
      <c r="J72" s="98"/>
      <c r="K72" s="98"/>
      <c r="L72" s="96"/>
      <c r="M72" s="96">
        <v>0.14749999999999999</v>
      </c>
    </row>
    <row r="73" spans="1:13" x14ac:dyDescent="0.2">
      <c r="A73" s="96">
        <v>0.15</v>
      </c>
      <c r="B73" s="94"/>
      <c r="C73" s="98"/>
      <c r="D73" s="98"/>
      <c r="E73" s="98"/>
      <c r="F73" s="98"/>
      <c r="G73" s="98"/>
      <c r="H73" s="98"/>
      <c r="I73" s="98"/>
      <c r="J73" s="98"/>
      <c r="K73" s="98"/>
      <c r="L73" s="96"/>
      <c r="M73" s="96">
        <v>0.15</v>
      </c>
    </row>
    <row r="74" spans="1:13" x14ac:dyDescent="0.2">
      <c r="A74" s="96">
        <v>0.1525</v>
      </c>
      <c r="B74" s="94"/>
      <c r="C74" s="98"/>
      <c r="D74" s="98"/>
      <c r="E74" s="98"/>
      <c r="F74" s="98"/>
      <c r="G74" s="98"/>
      <c r="H74" s="98"/>
      <c r="I74" s="98"/>
      <c r="J74" s="98"/>
      <c r="K74" s="98"/>
      <c r="L74" s="96"/>
      <c r="M74" s="96">
        <v>0.1525</v>
      </c>
    </row>
    <row r="75" spans="1:13" x14ac:dyDescent="0.2">
      <c r="A75" s="96">
        <v>0.155</v>
      </c>
      <c r="B75" s="94"/>
      <c r="C75" s="98"/>
      <c r="D75" s="98"/>
      <c r="E75" s="98"/>
      <c r="F75" s="98"/>
      <c r="G75" s="98"/>
      <c r="H75" s="98"/>
      <c r="I75" s="98"/>
      <c r="J75" s="98"/>
      <c r="K75" s="98"/>
      <c r="L75" s="96"/>
      <c r="M75" s="96">
        <v>0.155</v>
      </c>
    </row>
    <row r="76" spans="1:13" x14ac:dyDescent="0.2">
      <c r="A76" s="96">
        <v>0.1575</v>
      </c>
      <c r="B76" s="94"/>
      <c r="C76" s="98"/>
      <c r="D76" s="98"/>
      <c r="E76" s="98"/>
      <c r="F76" s="98"/>
      <c r="G76" s="98"/>
      <c r="H76" s="98"/>
      <c r="I76" s="98"/>
      <c r="J76" s="98"/>
      <c r="K76" s="98"/>
      <c r="L76" s="96"/>
      <c r="M76" s="96">
        <v>0.1575</v>
      </c>
    </row>
    <row r="77" spans="1:13" x14ac:dyDescent="0.2">
      <c r="A77" s="96">
        <v>0.16</v>
      </c>
      <c r="B77" s="94"/>
      <c r="C77" s="98"/>
      <c r="D77" s="98"/>
      <c r="E77" s="98"/>
      <c r="F77" s="98"/>
      <c r="G77" s="98"/>
      <c r="H77" s="98"/>
      <c r="I77" s="98"/>
      <c r="J77" s="98"/>
      <c r="K77" s="98"/>
      <c r="L77" s="96"/>
      <c r="M77" s="96">
        <v>0.16</v>
      </c>
    </row>
    <row r="78" spans="1:13" x14ac:dyDescent="0.2">
      <c r="A78" s="96">
        <v>0.16250000000000001</v>
      </c>
      <c r="B78" s="94"/>
      <c r="C78" s="98"/>
      <c r="D78" s="98"/>
      <c r="E78" s="98"/>
      <c r="F78" s="98"/>
      <c r="G78" s="98"/>
      <c r="H78" s="98"/>
      <c r="I78" s="98"/>
      <c r="J78" s="98"/>
      <c r="K78" s="98"/>
      <c r="L78" s="96"/>
      <c r="M78" s="96">
        <v>0.16250000000000001</v>
      </c>
    </row>
    <row r="79" spans="1:13" x14ac:dyDescent="0.2">
      <c r="A79" s="96">
        <v>0.16500000000000001</v>
      </c>
      <c r="B79" s="94"/>
      <c r="C79" s="98"/>
      <c r="D79" s="98"/>
      <c r="E79" s="98"/>
      <c r="F79" s="98"/>
      <c r="G79" s="98"/>
      <c r="H79" s="98"/>
      <c r="I79" s="98"/>
      <c r="J79" s="98"/>
      <c r="K79" s="98"/>
      <c r="L79" s="96"/>
      <c r="M79" s="96">
        <v>0.16500000000000001</v>
      </c>
    </row>
    <row r="80" spans="1:13" x14ac:dyDescent="0.2">
      <c r="A80" s="96">
        <v>0.16750000000000001</v>
      </c>
      <c r="B80" s="94"/>
      <c r="C80" s="98"/>
      <c r="D80" s="98"/>
      <c r="E80" s="98"/>
      <c r="F80" s="98"/>
      <c r="G80" s="98"/>
      <c r="H80" s="98"/>
      <c r="I80" s="98"/>
      <c r="J80" s="98"/>
      <c r="K80" s="98"/>
      <c r="L80" s="96"/>
      <c r="M80" s="96">
        <v>0.16750000000000001</v>
      </c>
    </row>
    <row r="81" spans="1:13" x14ac:dyDescent="0.2">
      <c r="A81" s="96">
        <v>0.17</v>
      </c>
      <c r="B81" s="94"/>
      <c r="C81" s="98"/>
      <c r="D81" s="98"/>
      <c r="E81" s="98"/>
      <c r="F81" s="98"/>
      <c r="G81" s="98"/>
      <c r="H81" s="98"/>
      <c r="I81" s="98"/>
      <c r="J81" s="98"/>
      <c r="K81" s="98"/>
      <c r="L81" s="96"/>
      <c r="M81" s="96">
        <v>0.17</v>
      </c>
    </row>
    <row r="82" spans="1:13" x14ac:dyDescent="0.2">
      <c r="A82" s="96">
        <v>0.17249999999999999</v>
      </c>
      <c r="B82" s="94"/>
      <c r="C82" s="98"/>
      <c r="D82" s="98"/>
      <c r="E82" s="98"/>
      <c r="F82" s="98"/>
      <c r="G82" s="98"/>
      <c r="H82" s="98"/>
      <c r="I82" s="98"/>
      <c r="J82" s="98"/>
      <c r="K82" s="98"/>
      <c r="L82" s="96"/>
      <c r="M82" s="96">
        <v>0.17249999999999999</v>
      </c>
    </row>
    <row r="83" spans="1:13" x14ac:dyDescent="0.2">
      <c r="A83" s="96">
        <v>0.17499999999999999</v>
      </c>
      <c r="B83" s="94"/>
      <c r="C83" s="98"/>
      <c r="D83" s="98"/>
      <c r="E83" s="98"/>
      <c r="F83" s="98"/>
      <c r="G83" s="98"/>
      <c r="H83" s="98"/>
      <c r="I83" s="98"/>
      <c r="J83" s="98"/>
      <c r="K83" s="98"/>
      <c r="L83" s="96"/>
      <c r="M83" s="96">
        <v>0.17499999999999999</v>
      </c>
    </row>
    <row r="84" spans="1:13" x14ac:dyDescent="0.2">
      <c r="A84" s="96">
        <v>0.17749999999999999</v>
      </c>
      <c r="B84" s="94"/>
      <c r="C84" s="98"/>
      <c r="D84" s="98"/>
      <c r="E84" s="98"/>
      <c r="F84" s="98"/>
      <c r="G84" s="98"/>
      <c r="H84" s="98"/>
      <c r="I84" s="98"/>
      <c r="J84" s="98"/>
      <c r="K84" s="98"/>
      <c r="L84" s="96"/>
      <c r="M84" s="96">
        <v>0.17749999999999999</v>
      </c>
    </row>
    <row r="85" spans="1:13" x14ac:dyDescent="0.2">
      <c r="A85" s="96">
        <v>0.18</v>
      </c>
      <c r="B85" s="94"/>
      <c r="C85" s="98"/>
      <c r="D85" s="98"/>
      <c r="E85" s="98"/>
      <c r="F85" s="98"/>
      <c r="G85" s="98"/>
      <c r="H85" s="98"/>
      <c r="I85" s="98"/>
      <c r="J85" s="98"/>
      <c r="K85" s="98"/>
      <c r="L85" s="96"/>
      <c r="M85" s="96">
        <v>0.18</v>
      </c>
    </row>
    <row r="86" spans="1:13" x14ac:dyDescent="0.2">
      <c r="A86" s="96">
        <v>0.1825</v>
      </c>
      <c r="B86" s="94"/>
      <c r="C86" s="98"/>
      <c r="D86" s="98"/>
      <c r="E86" s="98"/>
      <c r="F86" s="98"/>
      <c r="G86" s="98"/>
      <c r="H86" s="98"/>
      <c r="I86" s="98"/>
      <c r="J86" s="98"/>
      <c r="K86" s="98"/>
      <c r="L86" s="96"/>
      <c r="M86" s="96">
        <v>0.1825</v>
      </c>
    </row>
    <row r="87" spans="1:13" x14ac:dyDescent="0.2">
      <c r="A87" s="96">
        <v>0.185</v>
      </c>
      <c r="B87" s="94"/>
      <c r="C87" s="98"/>
      <c r="D87" s="98"/>
      <c r="E87" s="98"/>
      <c r="F87" s="98"/>
      <c r="G87" s="98"/>
      <c r="H87" s="98"/>
      <c r="I87" s="98"/>
      <c r="J87" s="98"/>
      <c r="K87" s="98"/>
      <c r="L87" s="96"/>
      <c r="M87" s="96">
        <v>0.185</v>
      </c>
    </row>
    <row r="88" spans="1:13" x14ac:dyDescent="0.2">
      <c r="A88" s="96">
        <v>0.1875</v>
      </c>
      <c r="B88" s="94"/>
      <c r="C88" s="98"/>
      <c r="D88" s="98"/>
      <c r="E88" s="98"/>
      <c r="F88" s="98"/>
      <c r="G88" s="98"/>
      <c r="H88" s="98"/>
      <c r="I88" s="98"/>
      <c r="J88" s="98"/>
      <c r="K88" s="98"/>
      <c r="L88" s="96"/>
      <c r="M88" s="96">
        <v>0.1875</v>
      </c>
    </row>
    <row r="89" spans="1:13" x14ac:dyDescent="0.2">
      <c r="A89" s="96">
        <v>0.19</v>
      </c>
      <c r="B89" s="94"/>
      <c r="C89" s="98"/>
      <c r="D89" s="98"/>
      <c r="E89" s="98"/>
      <c r="F89" s="98"/>
      <c r="G89" s="98"/>
      <c r="H89" s="98"/>
      <c r="I89" s="98"/>
      <c r="J89" s="98"/>
      <c r="K89" s="98"/>
      <c r="L89" s="96"/>
      <c r="M89" s="96">
        <v>0.19</v>
      </c>
    </row>
    <row r="90" spans="1:13" x14ac:dyDescent="0.2">
      <c r="A90" s="96">
        <v>0.1925</v>
      </c>
      <c r="B90" s="94"/>
      <c r="C90" s="98"/>
      <c r="D90" s="98"/>
      <c r="E90" s="98"/>
      <c r="F90" s="98"/>
      <c r="G90" s="98"/>
      <c r="H90" s="98"/>
      <c r="I90" s="98"/>
      <c r="J90" s="98"/>
      <c r="K90" s="98"/>
      <c r="L90" s="96"/>
      <c r="M90" s="96">
        <v>0.1925</v>
      </c>
    </row>
    <row r="91" spans="1:13" x14ac:dyDescent="0.2">
      <c r="A91" s="96">
        <v>0.19500000000000001</v>
      </c>
      <c r="B91" s="94"/>
      <c r="C91" s="98"/>
      <c r="D91" s="98"/>
      <c r="E91" s="98"/>
      <c r="F91" s="98"/>
      <c r="G91" s="98"/>
      <c r="H91" s="98"/>
      <c r="I91" s="98"/>
      <c r="J91" s="98"/>
      <c r="K91" s="98"/>
      <c r="L91" s="96"/>
      <c r="M91" s="96">
        <v>0.19500000000000001</v>
      </c>
    </row>
    <row r="92" spans="1:13" x14ac:dyDescent="0.2">
      <c r="A92" s="96">
        <v>0.19750000000000001</v>
      </c>
      <c r="B92" s="94"/>
      <c r="C92" s="98"/>
      <c r="D92" s="98"/>
      <c r="E92" s="98"/>
      <c r="F92" s="98"/>
      <c r="G92" s="98"/>
      <c r="H92" s="98"/>
      <c r="I92" s="98"/>
      <c r="J92" s="98"/>
      <c r="K92" s="98"/>
      <c r="L92" s="96"/>
      <c r="M92" s="96">
        <v>0.19750000000000001</v>
      </c>
    </row>
    <row r="93" spans="1:13" x14ac:dyDescent="0.2">
      <c r="A93" s="96">
        <v>0.2</v>
      </c>
      <c r="B93" s="94"/>
      <c r="C93" s="98"/>
      <c r="D93" s="98"/>
      <c r="E93" s="98"/>
      <c r="F93" s="98"/>
      <c r="G93" s="98"/>
      <c r="H93" s="98"/>
      <c r="I93" s="98"/>
      <c r="J93" s="98"/>
      <c r="K93" s="98"/>
      <c r="L93" s="96"/>
      <c r="M93" s="96">
        <v>0.2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Record_Macro_Button</vt:lpstr>
      <vt:lpstr>Spin Buttons</vt:lpstr>
      <vt:lpstr>If Statements</vt:lpstr>
      <vt:lpstr>VLOOKUP &amp; Button</vt:lpstr>
      <vt:lpstr>Solver_Max Sharpe</vt:lpstr>
      <vt:lpstr>Create Function</vt:lpstr>
      <vt:lpstr>FV_Volatility</vt:lpstr>
      <vt:lpstr>Normal Distribution Graph</vt:lpstr>
      <vt:lpstr>VBA Practice</vt:lpstr>
      <vt:lpstr>Practice Loop</vt:lpstr>
      <vt:lpstr>Monte Carlo</vt:lpstr>
      <vt:lpstr>MVO</vt:lpstr>
      <vt:lpstr>Rets</vt:lpstr>
      <vt:lpstr>S</vt:lpstr>
      <vt:lpstr>Wgts</vt:lpstr>
    </vt:vector>
  </TitlesOfParts>
  <Company>The University of Tampa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JDONALDSON</dc:creator>
  <cp:lastModifiedBy>Jeffrey Donaldson</cp:lastModifiedBy>
  <dcterms:created xsi:type="dcterms:W3CDTF">2013-03-05T17:16:50Z</dcterms:created>
  <dcterms:modified xsi:type="dcterms:W3CDTF">2023-09-07T21:39:59Z</dcterms:modified>
</cp:coreProperties>
</file>